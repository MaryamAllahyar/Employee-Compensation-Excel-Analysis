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rte\My_GitHub_Projects\Employee-Compensation-Excel-Analysis\excel\"/>
    </mc:Choice>
  </mc:AlternateContent>
  <xr:revisionPtr revIDLastSave="0" documentId="13_ncr:1_{91455BEC-3A36-4FBB-88EA-7D4CD0A31D12}" xr6:coauthVersionLast="47" xr6:coauthVersionMax="47" xr10:uidLastSave="{00000000-0000-0000-0000-000000000000}"/>
  <bookViews>
    <workbookView xWindow="-108" yWindow="-108" windowWidth="23256" windowHeight="12456" firstSheet="4" activeTab="4" xr2:uid="{63DC88FB-E382-4D79-B64C-629C9900EC3F}"/>
  </bookViews>
  <sheets>
    <sheet name="Employee_Data" sheetId="2" r:id="rId1"/>
    <sheet name="Market_Benchmarks" sheetId="3" r:id="rId2"/>
    <sheet name="Pivot_Analysis" sheetId="4" r:id="rId3"/>
    <sheet name="Pay_Adjustment" sheetId="6" r:id="rId4"/>
    <sheet name="Dashboard" sheetId="7" r:id="rId5"/>
    <sheet name="Recommendations" sheetId="8" r:id="rId6"/>
  </sheets>
  <definedNames>
    <definedName name="ExternalData_1" localSheetId="0" hidden="1">Employee_Data!$A$1:$H$501</definedName>
    <definedName name="ExternalData_2" localSheetId="1" hidden="1">Market_Benchmarks!$A$1:$B$19</definedName>
    <definedName name="_xlnm.Print_Area" localSheetId="4">Dashboard!$A$1:$R$52</definedName>
  </definedNames>
  <calcPr calcId="191029"/>
  <pivotCaches>
    <pivotCache cacheId="14" r:id="rId7"/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7" l="1"/>
  <c r="I6" i="7"/>
  <c r="E6" i="7"/>
  <c r="A6" i="7"/>
  <c r="Y3" i="6"/>
  <c r="Y4" i="6"/>
  <c r="Y2" i="6"/>
  <c r="F2" i="6" a="1"/>
  <c r="E2" i="6" a="1"/>
  <c r="E2" i="6" s="1"/>
  <c r="D2" i="6" a="1"/>
  <c r="C2" i="6" a="1"/>
  <c r="C2" i="6" s="1"/>
  <c r="B2" i="6" a="1"/>
  <c r="B2" i="6" s="1"/>
  <c r="A2" i="6" a="1"/>
  <c r="M2" i="2" a="1"/>
  <c r="M2" i="2" s="1"/>
  <c r="M3" i="2" a="1"/>
  <c r="M3" i="2" s="1"/>
  <c r="M4" i="2" a="1"/>
  <c r="M4" i="2" s="1"/>
  <c r="M5" i="2" a="1"/>
  <c r="M5" i="2" s="1"/>
  <c r="M6" i="2" a="1"/>
  <c r="M6" i="2"/>
  <c r="M7" i="2" a="1"/>
  <c r="M7" i="2"/>
  <c r="M8" i="2" a="1"/>
  <c r="M8" i="2"/>
  <c r="M9" i="2" a="1"/>
  <c r="M9" i="2"/>
  <c r="M10" i="2" a="1"/>
  <c r="M10" i="2" s="1"/>
  <c r="M11" i="2" a="1"/>
  <c r="M11" i="2" s="1"/>
  <c r="M12" i="2" a="1"/>
  <c r="M12" i="2" s="1"/>
  <c r="M13" i="2" a="1"/>
  <c r="M13" i="2" s="1"/>
  <c r="M14" i="2" a="1"/>
  <c r="M14" i="2"/>
  <c r="M15" i="2" a="1"/>
  <c r="M15" i="2"/>
  <c r="M16" i="2" a="1"/>
  <c r="M16" i="2"/>
  <c r="M17" i="2" a="1"/>
  <c r="M17" i="2"/>
  <c r="M18" i="2" a="1"/>
  <c r="M18" i="2" s="1"/>
  <c r="M19" i="2" a="1"/>
  <c r="M19" i="2" s="1"/>
  <c r="M20" i="2" a="1"/>
  <c r="M20" i="2" s="1"/>
  <c r="M21" i="2" a="1"/>
  <c r="M21" i="2" s="1"/>
  <c r="M22" i="2" a="1"/>
  <c r="M22" i="2"/>
  <c r="M23" i="2" a="1"/>
  <c r="M23" i="2"/>
  <c r="M24" i="2" a="1"/>
  <c r="M24" i="2"/>
  <c r="M25" i="2" a="1"/>
  <c r="M25" i="2"/>
  <c r="M26" i="2" a="1"/>
  <c r="M26" i="2" s="1"/>
  <c r="M27" i="2" a="1"/>
  <c r="M27" i="2" s="1"/>
  <c r="M28" i="2" a="1"/>
  <c r="M28" i="2" s="1"/>
  <c r="M29" i="2" a="1"/>
  <c r="M29" i="2" s="1"/>
  <c r="M30" i="2" a="1"/>
  <c r="M30" i="2"/>
  <c r="M31" i="2" a="1"/>
  <c r="M31" i="2"/>
  <c r="M32" i="2" a="1"/>
  <c r="M32" i="2"/>
  <c r="M33" i="2" a="1"/>
  <c r="M33" i="2"/>
  <c r="M34" i="2" a="1"/>
  <c r="M34" i="2" s="1"/>
  <c r="M35" i="2" a="1"/>
  <c r="M35" i="2" s="1"/>
  <c r="M36" i="2" a="1"/>
  <c r="M36" i="2" s="1"/>
  <c r="M37" i="2" a="1"/>
  <c r="M37" i="2" s="1"/>
  <c r="M38" i="2" a="1"/>
  <c r="M38" i="2"/>
  <c r="M39" i="2" a="1"/>
  <c r="M39" i="2"/>
  <c r="M40" i="2" a="1"/>
  <c r="M40" i="2"/>
  <c r="M41" i="2" a="1"/>
  <c r="M41" i="2"/>
  <c r="M42" i="2" a="1"/>
  <c r="M42" i="2" s="1"/>
  <c r="M43" i="2" a="1"/>
  <c r="M43" i="2" s="1"/>
  <c r="M44" i="2" a="1"/>
  <c r="M44" i="2" s="1"/>
  <c r="M45" i="2" a="1"/>
  <c r="M45" i="2" s="1"/>
  <c r="M46" i="2" a="1"/>
  <c r="M46" i="2"/>
  <c r="M47" i="2" a="1"/>
  <c r="M47" i="2"/>
  <c r="M48" i="2" a="1"/>
  <c r="M48" i="2"/>
  <c r="M49" i="2" a="1"/>
  <c r="M49" i="2"/>
  <c r="M50" i="2" a="1"/>
  <c r="M50" i="2" s="1"/>
  <c r="M51" i="2" a="1"/>
  <c r="M51" i="2" s="1"/>
  <c r="M52" i="2" a="1"/>
  <c r="M52" i="2" s="1"/>
  <c r="M53" i="2" a="1"/>
  <c r="M53" i="2" s="1"/>
  <c r="M54" i="2" a="1"/>
  <c r="M54" i="2"/>
  <c r="M55" i="2" a="1"/>
  <c r="M55" i="2"/>
  <c r="M56" i="2" a="1"/>
  <c r="M56" i="2"/>
  <c r="M57" i="2" a="1"/>
  <c r="M57" i="2"/>
  <c r="M58" i="2" a="1"/>
  <c r="M58" i="2" s="1"/>
  <c r="M59" i="2" a="1"/>
  <c r="M59" i="2" s="1"/>
  <c r="M60" i="2" a="1"/>
  <c r="M60" i="2" s="1"/>
  <c r="M61" i="2" a="1"/>
  <c r="M61" i="2" s="1"/>
  <c r="M62" i="2" a="1"/>
  <c r="M62" i="2"/>
  <c r="M63" i="2" a="1"/>
  <c r="M63" i="2"/>
  <c r="M64" i="2" a="1"/>
  <c r="M64" i="2"/>
  <c r="M65" i="2" a="1"/>
  <c r="M65" i="2"/>
  <c r="M66" i="2" a="1"/>
  <c r="M66" i="2" s="1"/>
  <c r="M67" i="2" a="1"/>
  <c r="M67" i="2" s="1"/>
  <c r="M68" i="2" a="1"/>
  <c r="M68" i="2" s="1"/>
  <c r="M69" i="2" a="1"/>
  <c r="M69" i="2" s="1"/>
  <c r="M70" i="2" a="1"/>
  <c r="M70" i="2"/>
  <c r="M71" i="2" a="1"/>
  <c r="M71" i="2"/>
  <c r="M72" i="2" a="1"/>
  <c r="M72" i="2"/>
  <c r="M73" i="2" a="1"/>
  <c r="M73" i="2"/>
  <c r="M74" i="2" a="1"/>
  <c r="M74" i="2" s="1"/>
  <c r="M75" i="2" a="1"/>
  <c r="M75" i="2" s="1"/>
  <c r="M76" i="2" a="1"/>
  <c r="M76" i="2" s="1"/>
  <c r="M77" i="2" a="1"/>
  <c r="M77" i="2" s="1"/>
  <c r="M78" i="2" a="1"/>
  <c r="M78" i="2"/>
  <c r="M79" i="2" a="1"/>
  <c r="M79" i="2"/>
  <c r="M80" i="2" a="1"/>
  <c r="M80" i="2"/>
  <c r="M81" i="2" a="1"/>
  <c r="M81" i="2"/>
  <c r="M82" i="2" a="1"/>
  <c r="M82" i="2" s="1"/>
  <c r="M83" i="2" a="1"/>
  <c r="M83" i="2" s="1"/>
  <c r="M84" i="2" a="1"/>
  <c r="M84" i="2" s="1"/>
  <c r="M85" i="2" a="1"/>
  <c r="M85" i="2" s="1"/>
  <c r="M86" i="2" a="1"/>
  <c r="M86" i="2"/>
  <c r="M87" i="2" a="1"/>
  <c r="M87" i="2"/>
  <c r="M88" i="2" a="1"/>
  <c r="M88" i="2"/>
  <c r="M89" i="2" a="1"/>
  <c r="M89" i="2"/>
  <c r="M90" i="2" a="1"/>
  <c r="M90" i="2" s="1"/>
  <c r="M91" i="2" a="1"/>
  <c r="M91" i="2" s="1"/>
  <c r="M92" i="2" a="1"/>
  <c r="M92" i="2" s="1"/>
  <c r="M93" i="2" a="1"/>
  <c r="M93" i="2" s="1"/>
  <c r="M94" i="2" a="1"/>
  <c r="M94" i="2"/>
  <c r="M95" i="2" a="1"/>
  <c r="M95" i="2"/>
  <c r="M96" i="2" a="1"/>
  <c r="M96" i="2"/>
  <c r="M97" i="2" a="1"/>
  <c r="M97" i="2"/>
  <c r="M98" i="2" a="1"/>
  <c r="M98" i="2" s="1"/>
  <c r="M99" i="2" a="1"/>
  <c r="M99" i="2" s="1"/>
  <c r="M100" i="2" a="1"/>
  <c r="M100" i="2" s="1"/>
  <c r="M101" i="2" a="1"/>
  <c r="M101" i="2" s="1"/>
  <c r="M102" i="2" a="1"/>
  <c r="M102" i="2"/>
  <c r="M103" i="2" a="1"/>
  <c r="M103" i="2"/>
  <c r="M104" i="2" a="1"/>
  <c r="M104" i="2"/>
  <c r="M105" i="2" a="1"/>
  <c r="M105" i="2"/>
  <c r="M106" i="2" a="1"/>
  <c r="M106" i="2" s="1"/>
  <c r="M107" i="2" a="1"/>
  <c r="M107" i="2" s="1"/>
  <c r="M108" i="2" a="1"/>
  <c r="M108" i="2" s="1"/>
  <c r="M109" i="2" a="1"/>
  <c r="M109" i="2" s="1"/>
  <c r="M110" i="2" a="1"/>
  <c r="M110" i="2"/>
  <c r="M111" i="2" a="1"/>
  <c r="M111" i="2"/>
  <c r="M112" i="2" a="1"/>
  <c r="M112" i="2"/>
  <c r="M113" i="2" a="1"/>
  <c r="M113" i="2"/>
  <c r="M114" i="2" a="1"/>
  <c r="M114" i="2" s="1"/>
  <c r="M115" i="2" a="1"/>
  <c r="M115" i="2" s="1"/>
  <c r="M116" i="2" a="1"/>
  <c r="M116" i="2" s="1"/>
  <c r="M117" i="2" a="1"/>
  <c r="M117" i="2" s="1"/>
  <c r="M118" i="2" a="1"/>
  <c r="M118" i="2"/>
  <c r="M119" i="2" a="1"/>
  <c r="M119" i="2"/>
  <c r="M120" i="2" a="1"/>
  <c r="M120" i="2"/>
  <c r="M121" i="2" a="1"/>
  <c r="M121" i="2"/>
  <c r="M122" i="2" a="1"/>
  <c r="M122" i="2" s="1"/>
  <c r="M123" i="2" a="1"/>
  <c r="M123" i="2" s="1"/>
  <c r="M124" i="2" a="1"/>
  <c r="M124" i="2" s="1"/>
  <c r="M125" i="2" a="1"/>
  <c r="M125" i="2" s="1"/>
  <c r="M126" i="2" a="1"/>
  <c r="M126" i="2"/>
  <c r="M127" i="2" a="1"/>
  <c r="M127" i="2"/>
  <c r="M128" i="2" a="1"/>
  <c r="M128" i="2"/>
  <c r="M129" i="2" a="1"/>
  <c r="M129" i="2"/>
  <c r="M130" i="2" a="1"/>
  <c r="M130" i="2" s="1"/>
  <c r="M131" i="2" a="1"/>
  <c r="M131" i="2" s="1"/>
  <c r="M132" i="2" a="1"/>
  <c r="M132" i="2" s="1"/>
  <c r="M133" i="2" a="1"/>
  <c r="M133" i="2" s="1"/>
  <c r="M134" i="2" a="1"/>
  <c r="M134" i="2"/>
  <c r="M135" i="2" a="1"/>
  <c r="M135" i="2"/>
  <c r="M136" i="2" a="1"/>
  <c r="M136" i="2"/>
  <c r="M137" i="2" a="1"/>
  <c r="M137" i="2"/>
  <c r="M138" i="2" a="1"/>
  <c r="M138" i="2" s="1"/>
  <c r="M139" i="2" a="1"/>
  <c r="M139" i="2" s="1"/>
  <c r="M140" i="2" a="1"/>
  <c r="M140" i="2" s="1"/>
  <c r="M141" i="2" a="1"/>
  <c r="M141" i="2" s="1"/>
  <c r="M142" i="2" a="1"/>
  <c r="M142" i="2"/>
  <c r="M143" i="2" a="1"/>
  <c r="M143" i="2"/>
  <c r="M144" i="2" a="1"/>
  <c r="M144" i="2"/>
  <c r="M145" i="2" a="1"/>
  <c r="M145" i="2"/>
  <c r="M146" i="2" a="1"/>
  <c r="M146" i="2" s="1"/>
  <c r="M147" i="2" a="1"/>
  <c r="M147" i="2" s="1"/>
  <c r="M148" i="2" a="1"/>
  <c r="M148" i="2" s="1"/>
  <c r="M149" i="2" a="1"/>
  <c r="M149" i="2" s="1"/>
  <c r="M150" i="2" a="1"/>
  <c r="M150" i="2"/>
  <c r="M151" i="2" a="1"/>
  <c r="M151" i="2"/>
  <c r="M152" i="2" a="1"/>
  <c r="M152" i="2"/>
  <c r="M153" i="2" a="1"/>
  <c r="M153" i="2"/>
  <c r="M154" i="2" a="1"/>
  <c r="M154" i="2" s="1"/>
  <c r="M155" i="2" a="1"/>
  <c r="M155" i="2" s="1"/>
  <c r="M156" i="2" a="1"/>
  <c r="M156" i="2" s="1"/>
  <c r="M157" i="2" a="1"/>
  <c r="M157" i="2" s="1"/>
  <c r="M158" i="2" a="1"/>
  <c r="M158" i="2"/>
  <c r="M159" i="2" a="1"/>
  <c r="M159" i="2"/>
  <c r="M160" i="2" a="1"/>
  <c r="M160" i="2"/>
  <c r="M161" i="2" a="1"/>
  <c r="M161" i="2"/>
  <c r="M162" i="2" a="1"/>
  <c r="M162" i="2" s="1"/>
  <c r="M163" i="2" a="1"/>
  <c r="M163" i="2" s="1"/>
  <c r="M164" i="2" a="1"/>
  <c r="M164" i="2" s="1"/>
  <c r="M165" i="2" a="1"/>
  <c r="M165" i="2" s="1"/>
  <c r="M166" i="2" a="1"/>
  <c r="M166" i="2"/>
  <c r="M167" i="2" a="1"/>
  <c r="M167" i="2"/>
  <c r="M168" i="2" a="1"/>
  <c r="M168" i="2"/>
  <c r="M169" i="2" a="1"/>
  <c r="M169" i="2"/>
  <c r="M170" i="2" a="1"/>
  <c r="M170" i="2" s="1"/>
  <c r="M171" i="2" a="1"/>
  <c r="M171" i="2" s="1"/>
  <c r="M172" i="2" a="1"/>
  <c r="M172" i="2" s="1"/>
  <c r="M173" i="2" a="1"/>
  <c r="M173" i="2" s="1"/>
  <c r="M174" i="2" a="1"/>
  <c r="M174" i="2"/>
  <c r="M175" i="2" a="1"/>
  <c r="M175" i="2"/>
  <c r="M176" i="2" a="1"/>
  <c r="M176" i="2"/>
  <c r="M177" i="2" a="1"/>
  <c r="M177" i="2"/>
  <c r="M178" i="2" a="1"/>
  <c r="M178" i="2" s="1"/>
  <c r="M179" i="2" a="1"/>
  <c r="M179" i="2" s="1"/>
  <c r="M180" i="2" a="1"/>
  <c r="M180" i="2" s="1"/>
  <c r="M181" i="2" a="1"/>
  <c r="M181" i="2" s="1"/>
  <c r="M182" i="2" a="1"/>
  <c r="M182" i="2"/>
  <c r="M183" i="2" a="1"/>
  <c r="M183" i="2"/>
  <c r="M184" i="2" a="1"/>
  <c r="M184" i="2"/>
  <c r="M185" i="2" a="1"/>
  <c r="M185" i="2"/>
  <c r="M186" i="2" a="1"/>
  <c r="M186" i="2" s="1"/>
  <c r="M187" i="2" a="1"/>
  <c r="M187" i="2" s="1"/>
  <c r="M188" i="2" a="1"/>
  <c r="M188" i="2" s="1"/>
  <c r="M189" i="2" a="1"/>
  <c r="M189" i="2" s="1"/>
  <c r="M190" i="2" a="1"/>
  <c r="M190" i="2"/>
  <c r="M191" i="2" a="1"/>
  <c r="M191" i="2"/>
  <c r="M192" i="2" a="1"/>
  <c r="M192" i="2"/>
  <c r="M193" i="2" a="1"/>
  <c r="M193" i="2"/>
  <c r="M194" i="2" a="1"/>
  <c r="M194" i="2" s="1"/>
  <c r="M195" i="2" a="1"/>
  <c r="M195" i="2" s="1"/>
  <c r="M196" i="2" a="1"/>
  <c r="M196" i="2" s="1"/>
  <c r="M197" i="2" a="1"/>
  <c r="M197" i="2" s="1"/>
  <c r="M198" i="2" a="1"/>
  <c r="M198" i="2"/>
  <c r="M199" i="2" a="1"/>
  <c r="M199" i="2"/>
  <c r="M200" i="2" a="1"/>
  <c r="M200" i="2"/>
  <c r="M201" i="2" a="1"/>
  <c r="M201" i="2"/>
  <c r="M202" i="2" a="1"/>
  <c r="M202" i="2" s="1"/>
  <c r="M203" i="2" a="1"/>
  <c r="M203" i="2" s="1"/>
  <c r="M204" i="2" a="1"/>
  <c r="M204" i="2" s="1"/>
  <c r="M205" i="2" a="1"/>
  <c r="M205" i="2" s="1"/>
  <c r="M206" i="2" a="1"/>
  <c r="M206" i="2"/>
  <c r="M207" i="2" a="1"/>
  <c r="M207" i="2"/>
  <c r="M208" i="2" a="1"/>
  <c r="M208" i="2"/>
  <c r="M209" i="2" a="1"/>
  <c r="M209" i="2"/>
  <c r="M210" i="2" a="1"/>
  <c r="M210" i="2" s="1"/>
  <c r="M211" i="2" a="1"/>
  <c r="M211" i="2" s="1"/>
  <c r="M212" i="2" a="1"/>
  <c r="M212" i="2" s="1"/>
  <c r="M213" i="2" a="1"/>
  <c r="M213" i="2" s="1"/>
  <c r="M214" i="2" a="1"/>
  <c r="M214" i="2"/>
  <c r="M215" i="2" a="1"/>
  <c r="M215" i="2"/>
  <c r="M216" i="2" a="1"/>
  <c r="M216" i="2"/>
  <c r="M217" i="2" a="1"/>
  <c r="M217" i="2"/>
  <c r="M218" i="2" a="1"/>
  <c r="M218" i="2" s="1"/>
  <c r="M219" i="2" a="1"/>
  <c r="M219" i="2" s="1"/>
  <c r="M220" i="2" a="1"/>
  <c r="M220" i="2" s="1"/>
  <c r="M221" i="2" a="1"/>
  <c r="M221" i="2" s="1"/>
  <c r="M222" i="2" a="1"/>
  <c r="M222" i="2"/>
  <c r="M223" i="2" a="1"/>
  <c r="M223" i="2"/>
  <c r="M224" i="2" a="1"/>
  <c r="M224" i="2"/>
  <c r="M225" i="2" a="1"/>
  <c r="M225" i="2"/>
  <c r="M226" i="2" a="1"/>
  <c r="M226" i="2" s="1"/>
  <c r="M227" i="2" a="1"/>
  <c r="M227" i="2" s="1"/>
  <c r="M228" i="2" a="1"/>
  <c r="M228" i="2" s="1"/>
  <c r="M229" i="2" a="1"/>
  <c r="M229" i="2" s="1"/>
  <c r="M230" i="2" a="1"/>
  <c r="M230" i="2"/>
  <c r="M231" i="2" a="1"/>
  <c r="M231" i="2"/>
  <c r="M232" i="2" a="1"/>
  <c r="M232" i="2"/>
  <c r="M233" i="2" a="1"/>
  <c r="M233" i="2"/>
  <c r="M234" i="2" a="1"/>
  <c r="M234" i="2" s="1"/>
  <c r="M235" i="2" a="1"/>
  <c r="M235" i="2" s="1"/>
  <c r="M236" i="2" a="1"/>
  <c r="M236" i="2" s="1"/>
  <c r="M237" i="2" a="1"/>
  <c r="M237" i="2" s="1"/>
  <c r="M238" i="2" a="1"/>
  <c r="M238" i="2"/>
  <c r="M239" i="2" a="1"/>
  <c r="M239" i="2"/>
  <c r="M240" i="2" a="1"/>
  <c r="M240" i="2"/>
  <c r="M241" i="2" a="1"/>
  <c r="M241" i="2"/>
  <c r="M242" i="2" a="1"/>
  <c r="M242" i="2" s="1"/>
  <c r="M243" i="2" a="1"/>
  <c r="M243" i="2" s="1"/>
  <c r="M244" i="2" a="1"/>
  <c r="M244" i="2" s="1"/>
  <c r="M245" i="2" a="1"/>
  <c r="M245" i="2" s="1"/>
  <c r="M246" i="2" a="1"/>
  <c r="M246" i="2"/>
  <c r="M247" i="2" a="1"/>
  <c r="M247" i="2"/>
  <c r="M248" i="2" a="1"/>
  <c r="M248" i="2"/>
  <c r="M249" i="2" a="1"/>
  <c r="M249" i="2"/>
  <c r="M250" i="2" a="1"/>
  <c r="M250" i="2" s="1"/>
  <c r="M251" i="2" a="1"/>
  <c r="M251" i="2" s="1"/>
  <c r="M252" i="2" a="1"/>
  <c r="M252" i="2" s="1"/>
  <c r="M253" i="2" a="1"/>
  <c r="M253" i="2" s="1"/>
  <c r="M254" i="2" a="1"/>
  <c r="M254" i="2"/>
  <c r="M255" i="2" a="1"/>
  <c r="M255" i="2"/>
  <c r="M256" i="2" a="1"/>
  <c r="M256" i="2"/>
  <c r="M257" i="2" a="1"/>
  <c r="M257" i="2"/>
  <c r="M258" i="2" a="1"/>
  <c r="M258" i="2" s="1"/>
  <c r="M259" i="2" a="1"/>
  <c r="M259" i="2" s="1"/>
  <c r="M260" i="2" a="1"/>
  <c r="M260" i="2" s="1"/>
  <c r="M261" i="2" a="1"/>
  <c r="M261" i="2" s="1"/>
  <c r="M262" i="2" a="1"/>
  <c r="M262" i="2"/>
  <c r="M263" i="2" a="1"/>
  <c r="M263" i="2"/>
  <c r="M264" i="2" a="1"/>
  <c r="M264" i="2"/>
  <c r="M265" i="2" a="1"/>
  <c r="M265" i="2"/>
  <c r="M266" i="2" a="1"/>
  <c r="M266" i="2" s="1"/>
  <c r="M267" i="2" a="1"/>
  <c r="M267" i="2" s="1"/>
  <c r="M268" i="2" a="1"/>
  <c r="M268" i="2" s="1"/>
  <c r="M269" i="2" a="1"/>
  <c r="M269" i="2" s="1"/>
  <c r="M270" i="2" a="1"/>
  <c r="M270" i="2"/>
  <c r="M271" i="2" a="1"/>
  <c r="M271" i="2"/>
  <c r="M272" i="2" a="1"/>
  <c r="M272" i="2"/>
  <c r="M273" i="2" a="1"/>
  <c r="M273" i="2"/>
  <c r="M274" i="2" a="1"/>
  <c r="M274" i="2" s="1"/>
  <c r="M275" i="2" a="1"/>
  <c r="M275" i="2" s="1"/>
  <c r="M276" i="2" a="1"/>
  <c r="M276" i="2" s="1"/>
  <c r="M277" i="2" a="1"/>
  <c r="M277" i="2" s="1"/>
  <c r="M278" i="2" a="1"/>
  <c r="M278" i="2"/>
  <c r="M279" i="2" a="1"/>
  <c r="M279" i="2"/>
  <c r="M280" i="2" a="1"/>
  <c r="M280" i="2"/>
  <c r="M281" i="2" a="1"/>
  <c r="M281" i="2"/>
  <c r="M282" i="2" a="1"/>
  <c r="M282" i="2" s="1"/>
  <c r="M283" i="2" a="1"/>
  <c r="M283" i="2" s="1"/>
  <c r="M284" i="2" a="1"/>
  <c r="M284" i="2" s="1"/>
  <c r="M285" i="2" a="1"/>
  <c r="M285" i="2" s="1"/>
  <c r="M286" i="2" a="1"/>
  <c r="M286" i="2"/>
  <c r="M287" i="2" a="1"/>
  <c r="M287" i="2"/>
  <c r="M288" i="2" a="1"/>
  <c r="M288" i="2"/>
  <c r="M289" i="2" a="1"/>
  <c r="M289" i="2"/>
  <c r="M290" i="2" a="1"/>
  <c r="M290" i="2" s="1"/>
  <c r="M291" i="2" a="1"/>
  <c r="M291" i="2" s="1"/>
  <c r="M292" i="2" a="1"/>
  <c r="M292" i="2" s="1"/>
  <c r="M293" i="2" a="1"/>
  <c r="M293" i="2" s="1"/>
  <c r="M294" i="2" a="1"/>
  <c r="M294" i="2"/>
  <c r="M295" i="2" a="1"/>
  <c r="M295" i="2"/>
  <c r="M296" i="2" a="1"/>
  <c r="M296" i="2"/>
  <c r="M297" i="2" a="1"/>
  <c r="M297" i="2"/>
  <c r="M298" i="2" a="1"/>
  <c r="M298" i="2" s="1"/>
  <c r="M299" i="2" a="1"/>
  <c r="M299" i="2" s="1"/>
  <c r="M300" i="2" a="1"/>
  <c r="M300" i="2" s="1"/>
  <c r="M301" i="2" a="1"/>
  <c r="M301" i="2" s="1"/>
  <c r="M302" i="2" a="1"/>
  <c r="M302" i="2"/>
  <c r="M303" i="2" a="1"/>
  <c r="M303" i="2"/>
  <c r="M304" i="2" a="1"/>
  <c r="M304" i="2"/>
  <c r="M305" i="2" a="1"/>
  <c r="M305" i="2"/>
  <c r="M306" i="2" a="1"/>
  <c r="M306" i="2" s="1"/>
  <c r="M307" i="2" a="1"/>
  <c r="M307" i="2" s="1"/>
  <c r="M308" i="2" a="1"/>
  <c r="M308" i="2" s="1"/>
  <c r="M309" i="2" a="1"/>
  <c r="M309" i="2" s="1"/>
  <c r="M310" i="2" a="1"/>
  <c r="M310" i="2"/>
  <c r="M311" i="2" a="1"/>
  <c r="M311" i="2"/>
  <c r="M312" i="2" a="1"/>
  <c r="M312" i="2"/>
  <c r="M313" i="2" a="1"/>
  <c r="M313" i="2"/>
  <c r="M314" i="2" a="1"/>
  <c r="M314" i="2" s="1"/>
  <c r="M315" i="2" a="1"/>
  <c r="M315" i="2" s="1"/>
  <c r="M316" i="2" a="1"/>
  <c r="M316" i="2" s="1"/>
  <c r="M317" i="2" a="1"/>
  <c r="M317" i="2" s="1"/>
  <c r="M318" i="2" a="1"/>
  <c r="M318" i="2"/>
  <c r="M319" i="2" a="1"/>
  <c r="M319" i="2"/>
  <c r="M320" i="2" a="1"/>
  <c r="M320" i="2"/>
  <c r="M321" i="2" a="1"/>
  <c r="M321" i="2"/>
  <c r="M322" i="2" a="1"/>
  <c r="M322" i="2" s="1"/>
  <c r="M323" i="2" a="1"/>
  <c r="M323" i="2" s="1"/>
  <c r="M324" i="2" a="1"/>
  <c r="M324" i="2" s="1"/>
  <c r="M325" i="2" a="1"/>
  <c r="M325" i="2" s="1"/>
  <c r="M326" i="2" a="1"/>
  <c r="M326" i="2"/>
  <c r="M327" i="2" a="1"/>
  <c r="M327" i="2"/>
  <c r="M328" i="2" a="1"/>
  <c r="M328" i="2"/>
  <c r="M329" i="2" a="1"/>
  <c r="M329" i="2"/>
  <c r="M330" i="2" a="1"/>
  <c r="M330" i="2" s="1"/>
  <c r="M331" i="2" a="1"/>
  <c r="M331" i="2" s="1"/>
  <c r="M332" i="2" a="1"/>
  <c r="M332" i="2" s="1"/>
  <c r="M333" i="2" a="1"/>
  <c r="M333" i="2" s="1"/>
  <c r="M334" i="2" a="1"/>
  <c r="M334" i="2"/>
  <c r="M335" i="2" a="1"/>
  <c r="M335" i="2"/>
  <c r="M336" i="2" a="1"/>
  <c r="M336" i="2"/>
  <c r="M337" i="2" a="1"/>
  <c r="M337" i="2"/>
  <c r="M338" i="2" a="1"/>
  <c r="M338" i="2" s="1"/>
  <c r="M339" i="2" a="1"/>
  <c r="M339" i="2" s="1"/>
  <c r="M340" i="2" a="1"/>
  <c r="M340" i="2" s="1"/>
  <c r="M341" i="2" a="1"/>
  <c r="M341" i="2" s="1"/>
  <c r="M342" i="2" a="1"/>
  <c r="M342" i="2"/>
  <c r="M343" i="2" a="1"/>
  <c r="M343" i="2"/>
  <c r="M344" i="2" a="1"/>
  <c r="M344" i="2"/>
  <c r="M345" i="2" a="1"/>
  <c r="M345" i="2"/>
  <c r="M346" i="2" a="1"/>
  <c r="M346" i="2" s="1"/>
  <c r="M347" i="2" a="1"/>
  <c r="M347" i="2" s="1"/>
  <c r="M348" i="2" a="1"/>
  <c r="M348" i="2" s="1"/>
  <c r="M349" i="2" a="1"/>
  <c r="M349" i="2" s="1"/>
  <c r="M350" i="2" a="1"/>
  <c r="M350" i="2"/>
  <c r="M351" i="2" a="1"/>
  <c r="M351" i="2"/>
  <c r="M352" i="2" a="1"/>
  <c r="M352" i="2"/>
  <c r="M353" i="2" a="1"/>
  <c r="M353" i="2"/>
  <c r="M354" i="2" a="1"/>
  <c r="M354" i="2" s="1"/>
  <c r="M355" i="2" a="1"/>
  <c r="M355" i="2" s="1"/>
  <c r="M356" i="2" a="1"/>
  <c r="M356" i="2" s="1"/>
  <c r="M357" i="2" a="1"/>
  <c r="M357" i="2" s="1"/>
  <c r="M358" i="2" a="1"/>
  <c r="M358" i="2"/>
  <c r="M359" i="2" a="1"/>
  <c r="M359" i="2"/>
  <c r="M360" i="2" a="1"/>
  <c r="M360" i="2"/>
  <c r="M361" i="2" a="1"/>
  <c r="M361" i="2"/>
  <c r="M362" i="2" a="1"/>
  <c r="M362" i="2" s="1"/>
  <c r="M363" i="2" a="1"/>
  <c r="M363" i="2" s="1"/>
  <c r="M364" i="2" a="1"/>
  <c r="M364" i="2" s="1"/>
  <c r="M365" i="2" a="1"/>
  <c r="M365" i="2" s="1"/>
  <c r="M366" i="2" a="1"/>
  <c r="M366" i="2"/>
  <c r="M367" i="2" a="1"/>
  <c r="M367" i="2"/>
  <c r="M368" i="2" a="1"/>
  <c r="M368" i="2"/>
  <c r="M369" i="2" a="1"/>
  <c r="M369" i="2"/>
  <c r="M370" i="2" a="1"/>
  <c r="M370" i="2" s="1"/>
  <c r="M371" i="2" a="1"/>
  <c r="M371" i="2" s="1"/>
  <c r="M372" i="2" a="1"/>
  <c r="M372" i="2" s="1"/>
  <c r="M373" i="2" a="1"/>
  <c r="M373" i="2" s="1"/>
  <c r="M374" i="2" a="1"/>
  <c r="M374" i="2"/>
  <c r="M375" i="2" a="1"/>
  <c r="M375" i="2"/>
  <c r="M376" i="2" a="1"/>
  <c r="M376" i="2"/>
  <c r="M377" i="2" a="1"/>
  <c r="M377" i="2"/>
  <c r="M378" i="2" a="1"/>
  <c r="M378" i="2" s="1"/>
  <c r="M379" i="2" a="1"/>
  <c r="M379" i="2" s="1"/>
  <c r="M380" i="2" a="1"/>
  <c r="M380" i="2" s="1"/>
  <c r="M381" i="2" a="1"/>
  <c r="M381" i="2" s="1"/>
  <c r="M382" i="2" a="1"/>
  <c r="M382" i="2"/>
  <c r="M383" i="2" a="1"/>
  <c r="M383" i="2"/>
  <c r="M384" i="2" a="1"/>
  <c r="M384" i="2"/>
  <c r="M385" i="2" a="1"/>
  <c r="M385" i="2"/>
  <c r="M386" i="2" a="1"/>
  <c r="M386" i="2" s="1"/>
  <c r="M387" i="2" a="1"/>
  <c r="M387" i="2" s="1"/>
  <c r="M388" i="2" a="1"/>
  <c r="M388" i="2" s="1"/>
  <c r="M389" i="2" a="1"/>
  <c r="M389" i="2" s="1"/>
  <c r="M390" i="2" a="1"/>
  <c r="M390" i="2"/>
  <c r="M391" i="2" a="1"/>
  <c r="M391" i="2"/>
  <c r="M392" i="2" a="1"/>
  <c r="M392" i="2"/>
  <c r="M393" i="2" a="1"/>
  <c r="M393" i="2"/>
  <c r="M394" i="2" a="1"/>
  <c r="M394" i="2" s="1"/>
  <c r="M395" i="2" a="1"/>
  <c r="M395" i="2" s="1"/>
  <c r="M396" i="2" a="1"/>
  <c r="M396" i="2" s="1"/>
  <c r="M397" i="2" a="1"/>
  <c r="M397" i="2" s="1"/>
  <c r="M398" i="2" a="1"/>
  <c r="M398" i="2"/>
  <c r="M399" i="2" a="1"/>
  <c r="M399" i="2"/>
  <c r="M400" i="2" a="1"/>
  <c r="M400" i="2"/>
  <c r="M401" i="2" a="1"/>
  <c r="M401" i="2"/>
  <c r="M402" i="2" a="1"/>
  <c r="M402" i="2" s="1"/>
  <c r="M403" i="2" a="1"/>
  <c r="M403" i="2" s="1"/>
  <c r="M404" i="2" a="1"/>
  <c r="M404" i="2" s="1"/>
  <c r="M405" i="2" a="1"/>
  <c r="M405" i="2" s="1"/>
  <c r="M406" i="2" a="1"/>
  <c r="M406" i="2"/>
  <c r="M407" i="2" a="1"/>
  <c r="M407" i="2"/>
  <c r="M408" i="2" a="1"/>
  <c r="M408" i="2"/>
  <c r="M409" i="2" a="1"/>
  <c r="M409" i="2"/>
  <c r="M410" i="2" a="1"/>
  <c r="M410" i="2" s="1"/>
  <c r="M411" i="2" a="1"/>
  <c r="M411" i="2" s="1"/>
  <c r="M412" i="2" a="1"/>
  <c r="M412" i="2" s="1"/>
  <c r="M413" i="2" a="1"/>
  <c r="M413" i="2" s="1"/>
  <c r="M414" i="2" a="1"/>
  <c r="M414" i="2"/>
  <c r="M415" i="2" a="1"/>
  <c r="M415" i="2"/>
  <c r="M416" i="2" a="1"/>
  <c r="M416" i="2"/>
  <c r="M417" i="2" a="1"/>
  <c r="M417" i="2"/>
  <c r="M418" i="2" a="1"/>
  <c r="M418" i="2" s="1"/>
  <c r="M419" i="2" a="1"/>
  <c r="M419" i="2" s="1"/>
  <c r="M420" i="2" a="1"/>
  <c r="M420" i="2" s="1"/>
  <c r="M421" i="2" a="1"/>
  <c r="M421" i="2" s="1"/>
  <c r="M422" i="2" a="1"/>
  <c r="M422" i="2"/>
  <c r="M423" i="2" a="1"/>
  <c r="M423" i="2"/>
  <c r="M424" i="2" a="1"/>
  <c r="M424" i="2"/>
  <c r="M425" i="2" a="1"/>
  <c r="M425" i="2"/>
  <c r="M426" i="2" a="1"/>
  <c r="M426" i="2" s="1"/>
  <c r="M427" i="2" a="1"/>
  <c r="M427" i="2" s="1"/>
  <c r="M428" i="2" a="1"/>
  <c r="M428" i="2" s="1"/>
  <c r="M429" i="2" a="1"/>
  <c r="M429" i="2" s="1"/>
  <c r="M430" i="2" a="1"/>
  <c r="M430" i="2"/>
  <c r="M431" i="2" a="1"/>
  <c r="M431" i="2"/>
  <c r="M432" i="2" a="1"/>
  <c r="M432" i="2"/>
  <c r="M433" i="2" a="1"/>
  <c r="M433" i="2"/>
  <c r="M434" i="2" a="1"/>
  <c r="M434" i="2" s="1"/>
  <c r="M435" i="2" a="1"/>
  <c r="M435" i="2" s="1"/>
  <c r="M436" i="2" a="1"/>
  <c r="M436" i="2" s="1"/>
  <c r="M437" i="2" a="1"/>
  <c r="M437" i="2" s="1"/>
  <c r="M438" i="2" a="1"/>
  <c r="M438" i="2"/>
  <c r="M439" i="2" a="1"/>
  <c r="M439" i="2"/>
  <c r="M440" i="2" a="1"/>
  <c r="M440" i="2"/>
  <c r="M441" i="2" a="1"/>
  <c r="M441" i="2"/>
  <c r="M442" i="2" a="1"/>
  <c r="M442" i="2" s="1"/>
  <c r="M443" i="2" a="1"/>
  <c r="M443" i="2" s="1"/>
  <c r="M444" i="2" a="1"/>
  <c r="M444" i="2" s="1"/>
  <c r="M445" i="2" a="1"/>
  <c r="M445" i="2" s="1"/>
  <c r="M446" i="2" a="1"/>
  <c r="M446" i="2"/>
  <c r="M447" i="2" a="1"/>
  <c r="M447" i="2"/>
  <c r="M448" i="2" a="1"/>
  <c r="M448" i="2"/>
  <c r="M449" i="2" a="1"/>
  <c r="M449" i="2"/>
  <c r="M450" i="2" a="1"/>
  <c r="M450" i="2" s="1"/>
  <c r="M451" i="2" a="1"/>
  <c r="M451" i="2" s="1"/>
  <c r="M452" i="2" a="1"/>
  <c r="M452" i="2" s="1"/>
  <c r="M453" i="2" a="1"/>
  <c r="M453" i="2" s="1"/>
  <c r="M454" i="2" a="1"/>
  <c r="M454" i="2"/>
  <c r="M455" i="2" a="1"/>
  <c r="M455" i="2"/>
  <c r="M456" i="2" a="1"/>
  <c r="M456" i="2"/>
  <c r="M457" i="2" a="1"/>
  <c r="M457" i="2"/>
  <c r="M458" i="2" a="1"/>
  <c r="M458" i="2" s="1"/>
  <c r="M459" i="2" a="1"/>
  <c r="M459" i="2" s="1"/>
  <c r="M460" i="2" a="1"/>
  <c r="M460" i="2" s="1"/>
  <c r="M461" i="2" a="1"/>
  <c r="M461" i="2" s="1"/>
  <c r="M462" i="2" a="1"/>
  <c r="M462" i="2"/>
  <c r="M463" i="2" a="1"/>
  <c r="M463" i="2"/>
  <c r="M464" i="2" a="1"/>
  <c r="M464" i="2"/>
  <c r="M465" i="2" a="1"/>
  <c r="M465" i="2"/>
  <c r="M466" i="2" a="1"/>
  <c r="M466" i="2" s="1"/>
  <c r="M467" i="2" a="1"/>
  <c r="M467" i="2" s="1"/>
  <c r="M468" i="2" a="1"/>
  <c r="M468" i="2" s="1"/>
  <c r="M469" i="2" a="1"/>
  <c r="M469" i="2" s="1"/>
  <c r="M470" i="2" a="1"/>
  <c r="M470" i="2"/>
  <c r="M471" i="2" a="1"/>
  <c r="M471" i="2"/>
  <c r="M472" i="2" a="1"/>
  <c r="M472" i="2"/>
  <c r="M473" i="2" a="1"/>
  <c r="M473" i="2"/>
  <c r="M474" i="2" a="1"/>
  <c r="M474" i="2" s="1"/>
  <c r="M475" i="2" a="1"/>
  <c r="M475" i="2" s="1"/>
  <c r="M476" i="2" a="1"/>
  <c r="M476" i="2" s="1"/>
  <c r="M477" i="2" a="1"/>
  <c r="M477" i="2" s="1"/>
  <c r="M478" i="2" a="1"/>
  <c r="M478" i="2"/>
  <c r="M479" i="2" a="1"/>
  <c r="M479" i="2"/>
  <c r="M480" i="2" a="1"/>
  <c r="M480" i="2"/>
  <c r="M481" i="2" a="1"/>
  <c r="M481" i="2"/>
  <c r="M482" i="2" a="1"/>
  <c r="M482" i="2" s="1"/>
  <c r="M483" i="2" a="1"/>
  <c r="M483" i="2" s="1"/>
  <c r="M484" i="2" a="1"/>
  <c r="M484" i="2" s="1"/>
  <c r="M485" i="2" a="1"/>
  <c r="M485" i="2" s="1"/>
  <c r="M486" i="2" a="1"/>
  <c r="M486" i="2"/>
  <c r="M487" i="2" a="1"/>
  <c r="M487" i="2"/>
  <c r="M488" i="2" a="1"/>
  <c r="M488" i="2"/>
  <c r="M489" i="2" a="1"/>
  <c r="M489" i="2"/>
  <c r="M490" i="2" a="1"/>
  <c r="M490" i="2" s="1"/>
  <c r="M491" i="2" a="1"/>
  <c r="M491" i="2" s="1"/>
  <c r="M492" i="2" a="1"/>
  <c r="M492" i="2" s="1"/>
  <c r="M493" i="2" a="1"/>
  <c r="M493" i="2" s="1"/>
  <c r="M494" i="2" a="1"/>
  <c r="M494" i="2"/>
  <c r="M495" i="2" a="1"/>
  <c r="M495" i="2"/>
  <c r="M496" i="2" a="1"/>
  <c r="M496" i="2"/>
  <c r="M497" i="2" a="1"/>
  <c r="M497" i="2"/>
  <c r="M498" i="2" a="1"/>
  <c r="M498" i="2" s="1"/>
  <c r="M499" i="2" a="1"/>
  <c r="M499" i="2" s="1"/>
  <c r="M500" i="2" a="1"/>
  <c r="M500" i="2" s="1"/>
  <c r="M501" i="2" a="1"/>
  <c r="M501" i="2" s="1"/>
  <c r="L12" i="2"/>
  <c r="L13" i="2"/>
  <c r="L14" i="2"/>
  <c r="L20" i="2"/>
  <c r="L21" i="2"/>
  <c r="L22" i="2"/>
  <c r="L28" i="2"/>
  <c r="L29" i="2"/>
  <c r="L30" i="2"/>
  <c r="L32" i="2"/>
  <c r="L38" i="2"/>
  <c r="L43" i="2"/>
  <c r="L44" i="2"/>
  <c r="L45" i="2"/>
  <c r="L49" i="2"/>
  <c r="L52" i="2"/>
  <c r="L54" i="2"/>
  <c r="L59" i="2"/>
  <c r="L60" i="2"/>
  <c r="L76" i="2"/>
  <c r="L77" i="2"/>
  <c r="L78" i="2"/>
  <c r="L79" i="2"/>
  <c r="L80" i="2"/>
  <c r="L81" i="2"/>
  <c r="L84" i="2"/>
  <c r="L85" i="2"/>
  <c r="L86" i="2"/>
  <c r="L92" i="2"/>
  <c r="L94" i="2"/>
  <c r="L96" i="2"/>
  <c r="L102" i="2"/>
  <c r="L107" i="2"/>
  <c r="L108" i="2"/>
  <c r="L109" i="2"/>
  <c r="L113" i="2"/>
  <c r="L116" i="2"/>
  <c r="L118" i="2"/>
  <c r="L123" i="2"/>
  <c r="L124" i="2"/>
  <c r="L126" i="2"/>
  <c r="L127" i="2"/>
  <c r="L128" i="2"/>
  <c r="L129" i="2"/>
  <c r="L140" i="2"/>
  <c r="L141" i="2"/>
  <c r="L142" i="2"/>
  <c r="L143" i="2"/>
  <c r="L150" i="2"/>
  <c r="L156" i="2"/>
  <c r="L157" i="2"/>
  <c r="L158" i="2"/>
  <c r="L160" i="2"/>
  <c r="L161" i="2"/>
  <c r="L164" i="2"/>
  <c r="L165" i="2"/>
  <c r="L166" i="2"/>
  <c r="L169" i="2"/>
  <c r="L170" i="2"/>
  <c r="L171" i="2"/>
  <c r="L172" i="2"/>
  <c r="L182" i="2"/>
  <c r="L187" i="2"/>
  <c r="L188" i="2"/>
  <c r="L189" i="2"/>
  <c r="L190" i="2"/>
  <c r="L191" i="2"/>
  <c r="L192" i="2"/>
  <c r="L193" i="2"/>
  <c r="L201" i="2"/>
  <c r="L204" i="2"/>
  <c r="L206" i="2"/>
  <c r="L207" i="2"/>
  <c r="L214" i="2"/>
  <c r="L220" i="2"/>
  <c r="L221" i="2"/>
  <c r="L222" i="2"/>
  <c r="L224" i="2"/>
  <c r="L225" i="2"/>
  <c r="L230" i="2"/>
  <c r="L235" i="2"/>
  <c r="L236" i="2"/>
  <c r="L237" i="2"/>
  <c r="L241" i="2"/>
  <c r="L244" i="2"/>
  <c r="L246" i="2"/>
  <c r="L251" i="2"/>
  <c r="L252" i="2"/>
  <c r="L253" i="2"/>
  <c r="L254" i="2"/>
  <c r="L268" i="2"/>
  <c r="L269" i="2"/>
  <c r="L270" i="2"/>
  <c r="L271" i="2"/>
  <c r="L272" i="2"/>
  <c r="L273" i="2"/>
  <c r="L276" i="2"/>
  <c r="L277" i="2"/>
  <c r="L278" i="2"/>
  <c r="L281" i="2"/>
  <c r="L284" i="2"/>
  <c r="L286" i="2"/>
  <c r="L294" i="2"/>
  <c r="L299" i="2"/>
  <c r="L300" i="2"/>
  <c r="L301" i="2"/>
  <c r="L305" i="2"/>
  <c r="L307" i="2"/>
  <c r="L309" i="2"/>
  <c r="L310" i="2"/>
  <c r="L315" i="2"/>
  <c r="L316" i="2"/>
  <c r="L318" i="2"/>
  <c r="L319" i="2"/>
  <c r="L320" i="2"/>
  <c r="L325" i="2"/>
  <c r="L326" i="2"/>
  <c r="L331" i="2"/>
  <c r="L332" i="2"/>
  <c r="L333" i="2"/>
  <c r="L334" i="2"/>
  <c r="L347" i="2"/>
  <c r="L348" i="2"/>
  <c r="L349" i="2"/>
  <c r="L350" i="2"/>
  <c r="L351" i="2"/>
  <c r="L352" i="2"/>
  <c r="L353" i="2"/>
  <c r="L355" i="2"/>
  <c r="L356" i="2"/>
  <c r="L357" i="2"/>
  <c r="L358" i="2"/>
  <c r="L364" i="2"/>
  <c r="L365" i="2"/>
  <c r="L366" i="2"/>
  <c r="L371" i="2"/>
  <c r="L372" i="2"/>
  <c r="L373" i="2"/>
  <c r="L374" i="2"/>
  <c r="L379" i="2"/>
  <c r="L380" i="2"/>
  <c r="L384" i="2"/>
  <c r="L395" i="2"/>
  <c r="L396" i="2"/>
  <c r="L397" i="2"/>
  <c r="L398" i="2"/>
  <c r="L399" i="2"/>
  <c r="L404" i="2"/>
  <c r="L405" i="2"/>
  <c r="L409" i="2"/>
  <c r="L410" i="2"/>
  <c r="L411" i="2"/>
  <c r="L412" i="2"/>
  <c r="L414" i="2"/>
  <c r="L415" i="2"/>
  <c r="L416" i="2"/>
  <c r="L428" i="2"/>
  <c r="L429" i="2"/>
  <c r="L430" i="2"/>
  <c r="L431" i="2"/>
  <c r="L432" i="2"/>
  <c r="L433" i="2"/>
  <c r="L435" i="2"/>
  <c r="L444" i="2"/>
  <c r="L445" i="2"/>
  <c r="L451" i="2"/>
  <c r="L452" i="2"/>
  <c r="L453" i="2"/>
  <c r="L454" i="2"/>
  <c r="L459" i="2"/>
  <c r="L460" i="2"/>
  <c r="L475" i="2"/>
  <c r="L476" i="2"/>
  <c r="L477" i="2"/>
  <c r="L478" i="2"/>
  <c r="L483" i="2"/>
  <c r="L484" i="2"/>
  <c r="L486" i="2"/>
  <c r="L488" i="2"/>
  <c r="L491" i="2"/>
  <c r="L492" i="2"/>
  <c r="L493" i="2"/>
  <c r="L495" i="2"/>
  <c r="L496" i="2"/>
  <c r="K4" i="2"/>
  <c r="K13" i="2"/>
  <c r="K14" i="2"/>
  <c r="K15" i="2"/>
  <c r="K16" i="2"/>
  <c r="K17" i="2"/>
  <c r="K20" i="2"/>
  <c r="K24" i="2"/>
  <c r="K30" i="2"/>
  <c r="K43" i="2"/>
  <c r="K44" i="2"/>
  <c r="K46" i="2"/>
  <c r="K47" i="2"/>
  <c r="K48" i="2"/>
  <c r="K49" i="2"/>
  <c r="K52" i="2"/>
  <c r="K56" i="2"/>
  <c r="K60" i="2"/>
  <c r="K63" i="2"/>
  <c r="K64" i="2"/>
  <c r="K86" i="2"/>
  <c r="K87" i="2"/>
  <c r="K88" i="2"/>
  <c r="K96" i="2"/>
  <c r="K97" i="2"/>
  <c r="K100" i="2"/>
  <c r="K104" i="2"/>
  <c r="K108" i="2"/>
  <c r="K116" i="2"/>
  <c r="K120" i="2"/>
  <c r="K123" i="2"/>
  <c r="K124" i="2"/>
  <c r="K126" i="2"/>
  <c r="K127" i="2"/>
  <c r="K142" i="2"/>
  <c r="K143" i="2"/>
  <c r="K152" i="2"/>
  <c r="K155" i="2"/>
  <c r="K159" i="2"/>
  <c r="K160" i="2"/>
  <c r="K161" i="2"/>
  <c r="K171" i="2"/>
  <c r="K174" i="2"/>
  <c r="K188" i="2"/>
  <c r="K190" i="2"/>
  <c r="K191" i="2"/>
  <c r="K196" i="2"/>
  <c r="K197" i="2"/>
  <c r="K200" i="2"/>
  <c r="K206" i="2"/>
  <c r="K207" i="2"/>
  <c r="K208" i="2"/>
  <c r="K209" i="2"/>
  <c r="K216" i="2"/>
  <c r="K230" i="2"/>
  <c r="K231" i="2"/>
  <c r="K232" i="2"/>
  <c r="K235" i="2"/>
  <c r="K236" i="2"/>
  <c r="K237" i="2"/>
  <c r="K238" i="2"/>
  <c r="K244" i="2"/>
  <c r="K248" i="2"/>
  <c r="K249" i="2"/>
  <c r="K250" i="2"/>
  <c r="K269" i="2"/>
  <c r="K270" i="2"/>
  <c r="K276" i="2"/>
  <c r="K287" i="2"/>
  <c r="K300" i="2"/>
  <c r="K302" i="2"/>
  <c r="K310" i="2"/>
  <c r="K315" i="2"/>
  <c r="K316" i="2"/>
  <c r="K317" i="2"/>
  <c r="K333" i="2"/>
  <c r="K334" i="2"/>
  <c r="K335" i="2"/>
  <c r="K336" i="2"/>
  <c r="K337" i="2"/>
  <c r="K344" i="2"/>
  <c r="K366" i="2"/>
  <c r="K380" i="2"/>
  <c r="K381" i="2"/>
  <c r="K382" i="2"/>
  <c r="K388" i="2"/>
  <c r="K393" i="2"/>
  <c r="K394" i="2"/>
  <c r="K398" i="2"/>
  <c r="K415" i="2"/>
  <c r="K416" i="2"/>
  <c r="K430" i="2"/>
  <c r="K431" i="2"/>
  <c r="K432" i="2"/>
  <c r="K433" i="2"/>
  <c r="K444" i="2"/>
  <c r="K446" i="2"/>
  <c r="K449" i="2"/>
  <c r="K452" i="2"/>
  <c r="K462" i="2"/>
  <c r="K463" i="2"/>
  <c r="K484" i="2"/>
  <c r="K494" i="2"/>
  <c r="K500" i="2"/>
  <c r="K501" i="2"/>
  <c r="J22" i="2"/>
  <c r="J24" i="2"/>
  <c r="J25" i="2"/>
  <c r="J60" i="2"/>
  <c r="J91" i="2"/>
  <c r="J97" i="2"/>
  <c r="J98" i="2"/>
  <c r="J99" i="2"/>
  <c r="J104" i="2"/>
  <c r="J113" i="2"/>
  <c r="J114" i="2"/>
  <c r="J123" i="2"/>
  <c r="J139" i="2"/>
  <c r="J140" i="2"/>
  <c r="J152" i="2"/>
  <c r="J155" i="2"/>
  <c r="J171" i="2"/>
  <c r="J177" i="2"/>
  <c r="J181" i="2"/>
  <c r="J184" i="2"/>
  <c r="J203" i="2"/>
  <c r="J204" i="2"/>
  <c r="J211" i="2"/>
  <c r="J219" i="2"/>
  <c r="J237" i="2"/>
  <c r="J248" i="2"/>
  <c r="J284" i="2"/>
  <c r="J305" i="2"/>
  <c r="J308" i="2"/>
  <c r="J315" i="2"/>
  <c r="J316" i="2"/>
  <c r="J355" i="2"/>
  <c r="J356" i="2"/>
  <c r="J369" i="2"/>
  <c r="J370" i="2"/>
  <c r="J379" i="2"/>
  <c r="J380" i="2"/>
  <c r="J413" i="2"/>
  <c r="J416" i="2"/>
  <c r="J433" i="2"/>
  <c r="J434" i="2"/>
  <c r="J435" i="2"/>
  <c r="J452" i="2"/>
  <c r="J456" i="2"/>
  <c r="J471" i="2"/>
  <c r="J491" i="2"/>
  <c r="I2" i="2"/>
  <c r="L2" i="2" s="1"/>
  <c r="I3" i="2"/>
  <c r="L3" i="2" s="1"/>
  <c r="I4" i="2"/>
  <c r="I5" i="2"/>
  <c r="L5" i="2" s="1"/>
  <c r="I6" i="2"/>
  <c r="L6" i="2" s="1"/>
  <c r="I7" i="2"/>
  <c r="L7" i="2" s="1"/>
  <c r="I8" i="2"/>
  <c r="I9" i="2"/>
  <c r="I10" i="2"/>
  <c r="L10" i="2" s="1"/>
  <c r="I11" i="2"/>
  <c r="L11" i="2" s="1"/>
  <c r="I12" i="2"/>
  <c r="I13" i="2"/>
  <c r="J13" i="2" s="1"/>
  <c r="I14" i="2"/>
  <c r="J14" i="2" s="1"/>
  <c r="I15" i="2"/>
  <c r="J15" i="2" s="1"/>
  <c r="I16" i="2"/>
  <c r="J16" i="2" s="1"/>
  <c r="I17" i="2"/>
  <c r="J17" i="2" s="1"/>
  <c r="I18" i="2"/>
  <c r="L18" i="2" s="1"/>
  <c r="I19" i="2"/>
  <c r="L19" i="2" s="1"/>
  <c r="I20" i="2"/>
  <c r="J20" i="2" s="1"/>
  <c r="I21" i="2"/>
  <c r="I22" i="2"/>
  <c r="K22" i="2" s="1"/>
  <c r="I23" i="2"/>
  <c r="K23" i="2" s="1"/>
  <c r="I24" i="2"/>
  <c r="L24" i="2" s="1"/>
  <c r="I25" i="2"/>
  <c r="K25" i="2" s="1"/>
  <c r="I26" i="2"/>
  <c r="I27" i="2"/>
  <c r="L27" i="2" s="1"/>
  <c r="I28" i="2"/>
  <c r="I29" i="2"/>
  <c r="I30" i="2"/>
  <c r="J30" i="2" s="1"/>
  <c r="I31" i="2"/>
  <c r="I32" i="2"/>
  <c r="J32" i="2" s="1"/>
  <c r="I33" i="2"/>
  <c r="I34" i="2"/>
  <c r="I35" i="2"/>
  <c r="I36" i="2"/>
  <c r="I37" i="2"/>
  <c r="J37" i="2" s="1"/>
  <c r="I38" i="2"/>
  <c r="J38" i="2" s="1"/>
  <c r="I39" i="2"/>
  <c r="L39" i="2" s="1"/>
  <c r="I40" i="2"/>
  <c r="I41" i="2"/>
  <c r="I42" i="2"/>
  <c r="J42" i="2" s="1"/>
  <c r="I43" i="2"/>
  <c r="J43" i="2" s="1"/>
  <c r="I44" i="2"/>
  <c r="J44" i="2" s="1"/>
  <c r="I45" i="2"/>
  <c r="I46" i="2"/>
  <c r="I47" i="2"/>
  <c r="I48" i="2"/>
  <c r="I49" i="2"/>
  <c r="J49" i="2" s="1"/>
  <c r="I50" i="2"/>
  <c r="I51" i="2"/>
  <c r="I52" i="2"/>
  <c r="J52" i="2" s="1"/>
  <c r="I53" i="2"/>
  <c r="I54" i="2"/>
  <c r="K54" i="2" s="1"/>
  <c r="I55" i="2"/>
  <c r="J55" i="2" s="1"/>
  <c r="I56" i="2"/>
  <c r="I57" i="2"/>
  <c r="J57" i="2" s="1"/>
  <c r="I58" i="2"/>
  <c r="I59" i="2"/>
  <c r="I60" i="2"/>
  <c r="I61" i="2"/>
  <c r="I62" i="2"/>
  <c r="I63" i="2"/>
  <c r="J63" i="2" s="1"/>
  <c r="I64" i="2"/>
  <c r="J64" i="2" s="1"/>
  <c r="I65" i="2"/>
  <c r="K65" i="2" s="1"/>
  <c r="I66" i="2"/>
  <c r="I67" i="2"/>
  <c r="I68" i="2"/>
  <c r="I69" i="2"/>
  <c r="L69" i="2" s="1"/>
  <c r="I70" i="2"/>
  <c r="L70" i="2" s="1"/>
  <c r="I71" i="2"/>
  <c r="L71" i="2" s="1"/>
  <c r="I72" i="2"/>
  <c r="I73" i="2"/>
  <c r="L73" i="2" s="1"/>
  <c r="I74" i="2"/>
  <c r="L74" i="2" s="1"/>
  <c r="I75" i="2"/>
  <c r="L75" i="2" s="1"/>
  <c r="I76" i="2"/>
  <c r="I77" i="2"/>
  <c r="I78" i="2"/>
  <c r="I79" i="2"/>
  <c r="J79" i="2" s="1"/>
  <c r="I80" i="2"/>
  <c r="J80" i="2" s="1"/>
  <c r="I81" i="2"/>
  <c r="I82" i="2"/>
  <c r="L82" i="2" s="1"/>
  <c r="I83" i="2"/>
  <c r="L83" i="2" s="1"/>
  <c r="I84" i="2"/>
  <c r="J84" i="2" s="1"/>
  <c r="I85" i="2"/>
  <c r="J85" i="2" s="1"/>
  <c r="I86" i="2"/>
  <c r="J86" i="2" s="1"/>
  <c r="I87" i="2"/>
  <c r="J87" i="2" s="1"/>
  <c r="I88" i="2"/>
  <c r="L88" i="2" s="1"/>
  <c r="I89" i="2"/>
  <c r="K89" i="2" s="1"/>
  <c r="I90" i="2"/>
  <c r="J90" i="2" s="1"/>
  <c r="I91" i="2"/>
  <c r="K91" i="2" s="1"/>
  <c r="I92" i="2"/>
  <c r="I93" i="2"/>
  <c r="L93" i="2" s="1"/>
  <c r="I94" i="2"/>
  <c r="I95" i="2"/>
  <c r="L95" i="2" s="1"/>
  <c r="I96" i="2"/>
  <c r="J96" i="2" s="1"/>
  <c r="I97" i="2"/>
  <c r="L97" i="2" s="1"/>
  <c r="I98" i="2"/>
  <c r="I99" i="2"/>
  <c r="I100" i="2"/>
  <c r="J100" i="2" s="1"/>
  <c r="I101" i="2"/>
  <c r="J101" i="2" s="1"/>
  <c r="I102" i="2"/>
  <c r="K102" i="2" s="1"/>
  <c r="I103" i="2"/>
  <c r="J103" i="2" s="1"/>
  <c r="I104" i="2"/>
  <c r="L104" i="2" s="1"/>
  <c r="I105" i="2"/>
  <c r="I106" i="2"/>
  <c r="J106" i="2" s="1"/>
  <c r="I107" i="2"/>
  <c r="J107" i="2" s="1"/>
  <c r="I108" i="2"/>
  <c r="J108" i="2" s="1"/>
  <c r="I109" i="2"/>
  <c r="I110" i="2"/>
  <c r="I111" i="2"/>
  <c r="L111" i="2" s="1"/>
  <c r="I112" i="2"/>
  <c r="L112" i="2" s="1"/>
  <c r="I113" i="2"/>
  <c r="K113" i="2" s="1"/>
  <c r="I114" i="2"/>
  <c r="I115" i="2"/>
  <c r="L115" i="2" s="1"/>
  <c r="I116" i="2"/>
  <c r="J116" i="2" s="1"/>
  <c r="I117" i="2"/>
  <c r="L117" i="2" s="1"/>
  <c r="I118" i="2"/>
  <c r="I119" i="2"/>
  <c r="L119" i="2" s="1"/>
  <c r="I120" i="2"/>
  <c r="I121" i="2"/>
  <c r="L121" i="2" s="1"/>
  <c r="I122" i="2"/>
  <c r="J122" i="2" s="1"/>
  <c r="I123" i="2"/>
  <c r="I124" i="2"/>
  <c r="J124" i="2" s="1"/>
  <c r="I125" i="2"/>
  <c r="L125" i="2" s="1"/>
  <c r="I126" i="2"/>
  <c r="J126" i="2" s="1"/>
  <c r="I127" i="2"/>
  <c r="J127" i="2" s="1"/>
  <c r="I128" i="2"/>
  <c r="J128" i="2" s="1"/>
  <c r="I129" i="2"/>
  <c r="I130" i="2"/>
  <c r="I131" i="2"/>
  <c r="L131" i="2" s="1"/>
  <c r="I132" i="2"/>
  <c r="I133" i="2"/>
  <c r="I134" i="2"/>
  <c r="J134" i="2" s="1"/>
  <c r="I135" i="2"/>
  <c r="L135" i="2" s="1"/>
  <c r="I136" i="2"/>
  <c r="I137" i="2"/>
  <c r="J137" i="2" s="1"/>
  <c r="I138" i="2"/>
  <c r="I139" i="2"/>
  <c r="K139" i="2" s="1"/>
  <c r="I140" i="2"/>
  <c r="K140" i="2" s="1"/>
  <c r="I141" i="2"/>
  <c r="I142" i="2"/>
  <c r="J142" i="2" s="1"/>
  <c r="I143" i="2"/>
  <c r="J143" i="2" s="1"/>
  <c r="I144" i="2"/>
  <c r="I145" i="2"/>
  <c r="L145" i="2" s="1"/>
  <c r="I146" i="2"/>
  <c r="L146" i="2" s="1"/>
  <c r="I147" i="2"/>
  <c r="I148" i="2"/>
  <c r="I149" i="2"/>
  <c r="L149" i="2" s="1"/>
  <c r="I150" i="2"/>
  <c r="I151" i="2"/>
  <c r="L151" i="2" s="1"/>
  <c r="I152" i="2"/>
  <c r="L152" i="2" s="1"/>
  <c r="I153" i="2"/>
  <c r="J153" i="2" s="1"/>
  <c r="I154" i="2"/>
  <c r="I155" i="2"/>
  <c r="L155" i="2" s="1"/>
  <c r="I156" i="2"/>
  <c r="I157" i="2"/>
  <c r="I158" i="2"/>
  <c r="I159" i="2"/>
  <c r="I160" i="2"/>
  <c r="J160" i="2" s="1"/>
  <c r="I161" i="2"/>
  <c r="J161" i="2" s="1"/>
  <c r="I162" i="2"/>
  <c r="L162" i="2" s="1"/>
  <c r="I163" i="2"/>
  <c r="I164" i="2"/>
  <c r="K164" i="2" s="1"/>
  <c r="I165" i="2"/>
  <c r="K165" i="2" s="1"/>
  <c r="I166" i="2"/>
  <c r="J166" i="2" s="1"/>
  <c r="I167" i="2"/>
  <c r="L167" i="2" s="1"/>
  <c r="I168" i="2"/>
  <c r="I169" i="2"/>
  <c r="J169" i="2" s="1"/>
  <c r="I170" i="2"/>
  <c r="K170" i="2" s="1"/>
  <c r="I171" i="2"/>
  <c r="I172" i="2"/>
  <c r="J172" i="2" s="1"/>
  <c r="I173" i="2"/>
  <c r="J173" i="2" s="1"/>
  <c r="I174" i="2"/>
  <c r="I175" i="2"/>
  <c r="I176" i="2"/>
  <c r="I177" i="2"/>
  <c r="K177" i="2" s="1"/>
  <c r="I178" i="2"/>
  <c r="L178" i="2" s="1"/>
  <c r="I179" i="2"/>
  <c r="L179" i="2" s="1"/>
  <c r="I180" i="2"/>
  <c r="J180" i="2" s="1"/>
  <c r="I181" i="2"/>
  <c r="I182" i="2"/>
  <c r="I183" i="2"/>
  <c r="L183" i="2" s="1"/>
  <c r="I184" i="2"/>
  <c r="L184" i="2" s="1"/>
  <c r="I185" i="2"/>
  <c r="K185" i="2" s="1"/>
  <c r="I186" i="2"/>
  <c r="L186" i="2" s="1"/>
  <c r="I187" i="2"/>
  <c r="I188" i="2"/>
  <c r="J188" i="2" s="1"/>
  <c r="I189" i="2"/>
  <c r="I190" i="2"/>
  <c r="J190" i="2" s="1"/>
  <c r="I191" i="2"/>
  <c r="J191" i="2" s="1"/>
  <c r="I192" i="2"/>
  <c r="I193" i="2"/>
  <c r="I194" i="2"/>
  <c r="L194" i="2" s="1"/>
  <c r="I195" i="2"/>
  <c r="L195" i="2" s="1"/>
  <c r="I196" i="2"/>
  <c r="I197" i="2"/>
  <c r="I198" i="2"/>
  <c r="L198" i="2" s="1"/>
  <c r="I199" i="2"/>
  <c r="L199" i="2" s="1"/>
  <c r="I200" i="2"/>
  <c r="I201" i="2"/>
  <c r="I202" i="2"/>
  <c r="I203" i="2"/>
  <c r="K203" i="2" s="1"/>
  <c r="I204" i="2"/>
  <c r="K204" i="2" s="1"/>
  <c r="I205" i="2"/>
  <c r="L205" i="2" s="1"/>
  <c r="I206" i="2"/>
  <c r="J206" i="2" s="1"/>
  <c r="I207" i="2"/>
  <c r="J207" i="2" s="1"/>
  <c r="I208" i="2"/>
  <c r="J208" i="2" s="1"/>
  <c r="I209" i="2"/>
  <c r="J209" i="2" s="1"/>
  <c r="I210" i="2"/>
  <c r="L210" i="2" s="1"/>
  <c r="I211" i="2"/>
  <c r="I212" i="2"/>
  <c r="K212" i="2" s="1"/>
  <c r="I213" i="2"/>
  <c r="J213" i="2" s="1"/>
  <c r="I214" i="2"/>
  <c r="J214" i="2" s="1"/>
  <c r="I215" i="2"/>
  <c r="J215" i="2" s="1"/>
  <c r="I216" i="2"/>
  <c r="I217" i="2"/>
  <c r="J217" i="2" s="1"/>
  <c r="I218" i="2"/>
  <c r="I219" i="2"/>
  <c r="K219" i="2" s="1"/>
  <c r="I220" i="2"/>
  <c r="I221" i="2"/>
  <c r="I222" i="2"/>
  <c r="I223" i="2"/>
  <c r="I224" i="2"/>
  <c r="I225" i="2"/>
  <c r="I226" i="2"/>
  <c r="I227" i="2"/>
  <c r="I228" i="2"/>
  <c r="L228" i="2" s="1"/>
  <c r="I229" i="2"/>
  <c r="L229" i="2" s="1"/>
  <c r="I230" i="2"/>
  <c r="J230" i="2" s="1"/>
  <c r="I231" i="2"/>
  <c r="J231" i="2" s="1"/>
  <c r="I232" i="2"/>
  <c r="I233" i="2"/>
  <c r="L233" i="2" s="1"/>
  <c r="I234" i="2"/>
  <c r="J234" i="2" s="1"/>
  <c r="I235" i="2"/>
  <c r="J235" i="2" s="1"/>
  <c r="I236" i="2"/>
  <c r="J236" i="2" s="1"/>
  <c r="I237" i="2"/>
  <c r="I238" i="2"/>
  <c r="I239" i="2"/>
  <c r="L239" i="2" s="1"/>
  <c r="I240" i="2"/>
  <c r="L240" i="2" s="1"/>
  <c r="I241" i="2"/>
  <c r="K241" i="2" s="1"/>
  <c r="I242" i="2"/>
  <c r="L242" i="2" s="1"/>
  <c r="I243" i="2"/>
  <c r="L243" i="2" s="1"/>
  <c r="I244" i="2"/>
  <c r="J244" i="2" s="1"/>
  <c r="I245" i="2"/>
  <c r="I246" i="2"/>
  <c r="K246" i="2" s="1"/>
  <c r="I247" i="2"/>
  <c r="L247" i="2" s="1"/>
  <c r="I248" i="2"/>
  <c r="L248" i="2" s="1"/>
  <c r="I249" i="2"/>
  <c r="J249" i="2" s="1"/>
  <c r="I250" i="2"/>
  <c r="J250" i="2" s="1"/>
  <c r="I251" i="2"/>
  <c r="J251" i="2" s="1"/>
  <c r="I252" i="2"/>
  <c r="J252" i="2" s="1"/>
  <c r="I253" i="2"/>
  <c r="I254" i="2"/>
  <c r="I255" i="2"/>
  <c r="J255" i="2" s="1"/>
  <c r="I256" i="2"/>
  <c r="J256" i="2" s="1"/>
  <c r="I257" i="2"/>
  <c r="K257" i="2" s="1"/>
  <c r="I258" i="2"/>
  <c r="I259" i="2"/>
  <c r="I260" i="2"/>
  <c r="I261" i="2"/>
  <c r="I262" i="2"/>
  <c r="L262" i="2" s="1"/>
  <c r="I263" i="2"/>
  <c r="K263" i="2" s="1"/>
  <c r="I264" i="2"/>
  <c r="K264" i="2" s="1"/>
  <c r="I265" i="2"/>
  <c r="J265" i="2" s="1"/>
  <c r="I266" i="2"/>
  <c r="L266" i="2" s="1"/>
  <c r="I267" i="2"/>
  <c r="K267" i="2" s="1"/>
  <c r="I268" i="2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L274" i="2" s="1"/>
  <c r="I275" i="2"/>
  <c r="L275" i="2" s="1"/>
  <c r="I276" i="2"/>
  <c r="J276" i="2" s="1"/>
  <c r="I277" i="2"/>
  <c r="I278" i="2"/>
  <c r="K278" i="2" s="1"/>
  <c r="I279" i="2"/>
  <c r="J279" i="2" s="1"/>
  <c r="I280" i="2"/>
  <c r="I281" i="2"/>
  <c r="J281" i="2" s="1"/>
  <c r="I282" i="2"/>
  <c r="I283" i="2"/>
  <c r="K283" i="2" s="1"/>
  <c r="I284" i="2"/>
  <c r="K284" i="2" s="1"/>
  <c r="I285" i="2"/>
  <c r="K285" i="2" s="1"/>
  <c r="I286" i="2"/>
  <c r="I287" i="2"/>
  <c r="I288" i="2"/>
  <c r="I289" i="2"/>
  <c r="I290" i="2"/>
  <c r="I291" i="2"/>
  <c r="I292" i="2"/>
  <c r="I293" i="2"/>
  <c r="J293" i="2" s="1"/>
  <c r="I294" i="2"/>
  <c r="J294" i="2" s="1"/>
  <c r="I295" i="2"/>
  <c r="L295" i="2" s="1"/>
  <c r="I296" i="2"/>
  <c r="I297" i="2"/>
  <c r="J297" i="2" s="1"/>
  <c r="I298" i="2"/>
  <c r="J298" i="2" s="1"/>
  <c r="I299" i="2"/>
  <c r="J299" i="2" s="1"/>
  <c r="I300" i="2"/>
  <c r="J300" i="2" s="1"/>
  <c r="I301" i="2"/>
  <c r="I302" i="2"/>
  <c r="I303" i="2"/>
  <c r="I304" i="2"/>
  <c r="I305" i="2"/>
  <c r="K305" i="2" s="1"/>
  <c r="I306" i="2"/>
  <c r="L306" i="2" s="1"/>
  <c r="I307" i="2"/>
  <c r="I308" i="2"/>
  <c r="L308" i="2" s="1"/>
  <c r="I309" i="2"/>
  <c r="I310" i="2"/>
  <c r="J310" i="2" s="1"/>
  <c r="I311" i="2"/>
  <c r="J311" i="2" s="1"/>
  <c r="I312" i="2"/>
  <c r="I313" i="2"/>
  <c r="J313" i="2" s="1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L327" i="2" s="1"/>
  <c r="I328" i="2"/>
  <c r="L328" i="2" s="1"/>
  <c r="I329" i="2"/>
  <c r="I330" i="2"/>
  <c r="I331" i="2"/>
  <c r="I332" i="2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I339" i="2"/>
  <c r="I340" i="2"/>
  <c r="K340" i="2" s="1"/>
  <c r="I341" i="2"/>
  <c r="I342" i="2"/>
  <c r="J342" i="2" s="1"/>
  <c r="I343" i="2"/>
  <c r="L343" i="2" s="1"/>
  <c r="I344" i="2"/>
  <c r="I345" i="2"/>
  <c r="I346" i="2"/>
  <c r="K346" i="2" s="1"/>
  <c r="I347" i="2"/>
  <c r="K347" i="2" s="1"/>
  <c r="I348" i="2"/>
  <c r="I349" i="2"/>
  <c r="I350" i="2"/>
  <c r="I351" i="2"/>
  <c r="J351" i="2" s="1"/>
  <c r="I352" i="2"/>
  <c r="J352" i="2" s="1"/>
  <c r="I353" i="2"/>
  <c r="K353" i="2" s="1"/>
  <c r="I354" i="2"/>
  <c r="I355" i="2"/>
  <c r="K355" i="2" s="1"/>
  <c r="I356" i="2"/>
  <c r="K356" i="2" s="1"/>
  <c r="I357" i="2"/>
  <c r="J357" i="2" s="1"/>
  <c r="I358" i="2"/>
  <c r="J358" i="2" s="1"/>
  <c r="I359" i="2"/>
  <c r="J359" i="2" s="1"/>
  <c r="I360" i="2"/>
  <c r="I361" i="2"/>
  <c r="I362" i="2"/>
  <c r="I363" i="2"/>
  <c r="L363" i="2" s="1"/>
  <c r="I364" i="2"/>
  <c r="I365" i="2"/>
  <c r="I366" i="2"/>
  <c r="J366" i="2" s="1"/>
  <c r="I367" i="2"/>
  <c r="L367" i="2" s="1"/>
  <c r="I368" i="2"/>
  <c r="L368" i="2" s="1"/>
  <c r="I369" i="2"/>
  <c r="K369" i="2" s="1"/>
  <c r="I370" i="2"/>
  <c r="I371" i="2"/>
  <c r="I372" i="2"/>
  <c r="I373" i="2"/>
  <c r="I374" i="2"/>
  <c r="J374" i="2" s="1"/>
  <c r="I375" i="2"/>
  <c r="J375" i="2" s="1"/>
  <c r="I376" i="2"/>
  <c r="I377" i="2"/>
  <c r="J377" i="2" s="1"/>
  <c r="I378" i="2"/>
  <c r="L378" i="2" s="1"/>
  <c r="I379" i="2"/>
  <c r="K379" i="2" s="1"/>
  <c r="I380" i="2"/>
  <c r="I381" i="2"/>
  <c r="I382" i="2"/>
  <c r="I383" i="2"/>
  <c r="I384" i="2"/>
  <c r="J384" i="2" s="1"/>
  <c r="I385" i="2"/>
  <c r="K385" i="2" s="1"/>
  <c r="I386" i="2"/>
  <c r="I387" i="2"/>
  <c r="I388" i="2"/>
  <c r="J388" i="2" s="1"/>
  <c r="I389" i="2"/>
  <c r="L389" i="2" s="1"/>
  <c r="I390" i="2"/>
  <c r="L390" i="2" s="1"/>
  <c r="I391" i="2"/>
  <c r="L391" i="2" s="1"/>
  <c r="I392" i="2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I400" i="2"/>
  <c r="I401" i="2"/>
  <c r="I402" i="2"/>
  <c r="I403" i="2"/>
  <c r="I404" i="2"/>
  <c r="K404" i="2" s="1"/>
  <c r="I405" i="2"/>
  <c r="I406" i="2"/>
  <c r="L406" i="2" s="1"/>
  <c r="I407" i="2"/>
  <c r="L407" i="2" s="1"/>
  <c r="I408" i="2"/>
  <c r="L408" i="2" s="1"/>
  <c r="I409" i="2"/>
  <c r="I410" i="2"/>
  <c r="I411" i="2"/>
  <c r="K411" i="2" s="1"/>
  <c r="I412" i="2"/>
  <c r="I413" i="2"/>
  <c r="L413" i="2" s="1"/>
  <c r="I414" i="2"/>
  <c r="I415" i="2"/>
  <c r="J415" i="2" s="1"/>
  <c r="I416" i="2"/>
  <c r="I417" i="2"/>
  <c r="L417" i="2" s="1"/>
  <c r="I418" i="2"/>
  <c r="L418" i="2" s="1"/>
  <c r="I419" i="2"/>
  <c r="I420" i="2"/>
  <c r="L420" i="2" s="1"/>
  <c r="I421" i="2"/>
  <c r="I422" i="2"/>
  <c r="I423" i="2"/>
  <c r="L423" i="2" s="1"/>
  <c r="I424" i="2"/>
  <c r="I425" i="2"/>
  <c r="J425" i="2" s="1"/>
  <c r="I426" i="2"/>
  <c r="L426" i="2" s="1"/>
  <c r="I427" i="2"/>
  <c r="L427" i="2" s="1"/>
  <c r="I428" i="2"/>
  <c r="I429" i="2"/>
  <c r="I430" i="2"/>
  <c r="J430" i="2" s="1"/>
  <c r="I431" i="2"/>
  <c r="J431" i="2" s="1"/>
  <c r="I432" i="2"/>
  <c r="J432" i="2" s="1"/>
  <c r="I433" i="2"/>
  <c r="I434" i="2"/>
  <c r="I435" i="2"/>
  <c r="K435" i="2" s="1"/>
  <c r="I436" i="2"/>
  <c r="I437" i="2"/>
  <c r="J437" i="2" s="1"/>
  <c r="I438" i="2"/>
  <c r="J438" i="2" s="1"/>
  <c r="I439" i="2"/>
  <c r="J439" i="2" s="1"/>
  <c r="I440" i="2"/>
  <c r="I441" i="2"/>
  <c r="I442" i="2"/>
  <c r="I443" i="2"/>
  <c r="J443" i="2" s="1"/>
  <c r="I444" i="2"/>
  <c r="J444" i="2" s="1"/>
  <c r="I445" i="2"/>
  <c r="I446" i="2"/>
  <c r="I447" i="2"/>
  <c r="L447" i="2" s="1"/>
  <c r="I448" i="2"/>
  <c r="L448" i="2" s="1"/>
  <c r="I449" i="2"/>
  <c r="J449" i="2" s="1"/>
  <c r="I450" i="2"/>
  <c r="I451" i="2"/>
  <c r="I452" i="2"/>
  <c r="I453" i="2"/>
  <c r="K453" i="2" s="1"/>
  <c r="I454" i="2"/>
  <c r="K454" i="2" s="1"/>
  <c r="I455" i="2"/>
  <c r="J455" i="2" s="1"/>
  <c r="I456" i="2"/>
  <c r="L456" i="2" s="1"/>
  <c r="I457" i="2"/>
  <c r="I458" i="2"/>
  <c r="J458" i="2" s="1"/>
  <c r="I459" i="2"/>
  <c r="I460" i="2"/>
  <c r="I461" i="2"/>
  <c r="K461" i="2" s="1"/>
  <c r="I462" i="2"/>
  <c r="I463" i="2"/>
  <c r="J463" i="2" s="1"/>
  <c r="I464" i="2"/>
  <c r="J464" i="2" s="1"/>
  <c r="I465" i="2"/>
  <c r="I466" i="2"/>
  <c r="L466" i="2" s="1"/>
  <c r="I467" i="2"/>
  <c r="L467" i="2" s="1"/>
  <c r="I468" i="2"/>
  <c r="J468" i="2" s="1"/>
  <c r="I469" i="2"/>
  <c r="L469" i="2" s="1"/>
  <c r="I470" i="2"/>
  <c r="L470" i="2" s="1"/>
  <c r="I471" i="2"/>
  <c r="K471" i="2" s="1"/>
  <c r="I472" i="2"/>
  <c r="I473" i="2"/>
  <c r="L473" i="2" s="1"/>
  <c r="I474" i="2"/>
  <c r="K474" i="2" s="1"/>
  <c r="I475" i="2"/>
  <c r="K475" i="2" s="1"/>
  <c r="I476" i="2"/>
  <c r="K476" i="2" s="1"/>
  <c r="I477" i="2"/>
  <c r="I478" i="2"/>
  <c r="I479" i="2"/>
  <c r="I480" i="2"/>
  <c r="I481" i="2"/>
  <c r="I482" i="2"/>
  <c r="I483" i="2"/>
  <c r="I484" i="2"/>
  <c r="J484" i="2" s="1"/>
  <c r="I485" i="2"/>
  <c r="I486" i="2"/>
  <c r="J486" i="2" s="1"/>
  <c r="I487" i="2"/>
  <c r="L487" i="2" s="1"/>
  <c r="I488" i="2"/>
  <c r="J488" i="2" s="1"/>
  <c r="I489" i="2"/>
  <c r="I490" i="2"/>
  <c r="K490" i="2" s="1"/>
  <c r="I491" i="2"/>
  <c r="K491" i="2" s="1"/>
  <c r="I492" i="2"/>
  <c r="I493" i="2"/>
  <c r="I494" i="2"/>
  <c r="J494" i="2" s="1"/>
  <c r="I495" i="2"/>
  <c r="I496" i="2"/>
  <c r="I497" i="2"/>
  <c r="I498" i="2"/>
  <c r="I499" i="2"/>
  <c r="I500" i="2"/>
  <c r="L500" i="2" s="1"/>
  <c r="I501" i="2"/>
  <c r="J501" i="2" s="1"/>
  <c r="D2" i="6" l="1"/>
  <c r="Q3" i="6" s="1"/>
  <c r="A2" i="6"/>
  <c r="Q2" i="6"/>
  <c r="F2" i="6"/>
  <c r="Q17" i="6"/>
  <c r="I2" i="6" a="1"/>
  <c r="Q9" i="6"/>
  <c r="K2" i="6" a="1"/>
  <c r="J330" i="2"/>
  <c r="K330" i="2"/>
  <c r="K202" i="2"/>
  <c r="J202" i="2"/>
  <c r="J154" i="2"/>
  <c r="L154" i="2"/>
  <c r="K154" i="2"/>
  <c r="K58" i="2"/>
  <c r="J58" i="2"/>
  <c r="L458" i="2"/>
  <c r="L58" i="2"/>
  <c r="J441" i="2"/>
  <c r="L441" i="2"/>
  <c r="K201" i="2"/>
  <c r="J201" i="2"/>
  <c r="J9" i="2"/>
  <c r="K9" i="2"/>
  <c r="K297" i="2"/>
  <c r="K106" i="2"/>
  <c r="J472" i="2"/>
  <c r="L472" i="2"/>
  <c r="J440" i="2"/>
  <c r="L440" i="2"/>
  <c r="K440" i="2"/>
  <c r="K424" i="2"/>
  <c r="L424" i="2"/>
  <c r="J376" i="2"/>
  <c r="L376" i="2"/>
  <c r="J296" i="2"/>
  <c r="K296" i="2"/>
  <c r="L296" i="2"/>
  <c r="L377" i="2"/>
  <c r="K422" i="2"/>
  <c r="L422" i="2"/>
  <c r="K488" i="2"/>
  <c r="J421" i="2"/>
  <c r="L421" i="2"/>
  <c r="K181" i="2"/>
  <c r="L181" i="2"/>
  <c r="K378" i="2"/>
  <c r="L297" i="2"/>
  <c r="L213" i="2"/>
  <c r="J292" i="2"/>
  <c r="K292" i="2"/>
  <c r="K260" i="2"/>
  <c r="L260" i="2"/>
  <c r="J260" i="2"/>
  <c r="K148" i="2"/>
  <c r="J148" i="2"/>
  <c r="L132" i="2"/>
  <c r="J132" i="2"/>
  <c r="L68" i="2"/>
  <c r="K68" i="2"/>
  <c r="J36" i="2"/>
  <c r="K36" i="2"/>
  <c r="J4" i="2"/>
  <c r="L4" i="2"/>
  <c r="J422" i="2"/>
  <c r="J353" i="2"/>
  <c r="J170" i="2"/>
  <c r="J89" i="2"/>
  <c r="K472" i="2"/>
  <c r="K425" i="2"/>
  <c r="K377" i="2"/>
  <c r="K273" i="2"/>
  <c r="K234" i="2"/>
  <c r="K137" i="2"/>
  <c r="L474" i="2"/>
  <c r="L449" i="2"/>
  <c r="L425" i="2"/>
  <c r="L212" i="2"/>
  <c r="L101" i="2"/>
  <c r="L17" i="2"/>
  <c r="K499" i="2"/>
  <c r="L499" i="2"/>
  <c r="K419" i="2"/>
  <c r="J419" i="2"/>
  <c r="K403" i="2"/>
  <c r="L403" i="2"/>
  <c r="K387" i="2"/>
  <c r="J387" i="2"/>
  <c r="L387" i="2"/>
  <c r="K339" i="2"/>
  <c r="J339" i="2"/>
  <c r="K323" i="2"/>
  <c r="L323" i="2"/>
  <c r="K291" i="2"/>
  <c r="L291" i="2"/>
  <c r="K259" i="2"/>
  <c r="L259" i="2"/>
  <c r="K227" i="2"/>
  <c r="L227" i="2"/>
  <c r="K211" i="2"/>
  <c r="L211" i="2"/>
  <c r="K163" i="2"/>
  <c r="L163" i="2"/>
  <c r="K147" i="2"/>
  <c r="L147" i="2"/>
  <c r="K99" i="2"/>
  <c r="L99" i="2"/>
  <c r="K67" i="2"/>
  <c r="L67" i="2"/>
  <c r="K51" i="2"/>
  <c r="L51" i="2"/>
  <c r="K35" i="2"/>
  <c r="L35" i="2"/>
  <c r="J420" i="2"/>
  <c r="J346" i="2"/>
  <c r="J164" i="2"/>
  <c r="J68" i="2"/>
  <c r="K468" i="2"/>
  <c r="K420" i="2"/>
  <c r="K376" i="2"/>
  <c r="K272" i="2"/>
  <c r="K132" i="2"/>
  <c r="L419" i="2"/>
  <c r="L369" i="2"/>
  <c r="L293" i="2"/>
  <c r="L209" i="2"/>
  <c r="L185" i="2"/>
  <c r="L100" i="2"/>
  <c r="L16" i="2"/>
  <c r="K498" i="2"/>
  <c r="L498" i="2"/>
  <c r="K482" i="2"/>
  <c r="L482" i="2"/>
  <c r="K450" i="2"/>
  <c r="L450" i="2"/>
  <c r="J450" i="2"/>
  <c r="K434" i="2"/>
  <c r="L434" i="2"/>
  <c r="K402" i="2"/>
  <c r="L402" i="2"/>
  <c r="K386" i="2"/>
  <c r="L386" i="2"/>
  <c r="J386" i="2"/>
  <c r="K370" i="2"/>
  <c r="L370" i="2"/>
  <c r="K354" i="2"/>
  <c r="L354" i="2"/>
  <c r="J354" i="2"/>
  <c r="K338" i="2"/>
  <c r="L338" i="2"/>
  <c r="J338" i="2"/>
  <c r="K322" i="2"/>
  <c r="L322" i="2"/>
  <c r="J322" i="2"/>
  <c r="K290" i="2"/>
  <c r="L290" i="2"/>
  <c r="K258" i="2"/>
  <c r="L258" i="2"/>
  <c r="K226" i="2"/>
  <c r="L226" i="2"/>
  <c r="K130" i="2"/>
  <c r="L130" i="2"/>
  <c r="J130" i="2"/>
  <c r="K114" i="2"/>
  <c r="L114" i="2"/>
  <c r="K98" i="2"/>
  <c r="L98" i="2"/>
  <c r="K66" i="2"/>
  <c r="L66" i="2"/>
  <c r="K50" i="2"/>
  <c r="L50" i="2"/>
  <c r="K34" i="2"/>
  <c r="L34" i="2"/>
  <c r="J417" i="2"/>
  <c r="J340" i="2"/>
  <c r="J241" i="2"/>
  <c r="J163" i="2"/>
  <c r="J65" i="2"/>
  <c r="K464" i="2"/>
  <c r="K417" i="2"/>
  <c r="K271" i="2"/>
  <c r="K180" i="2"/>
  <c r="K128" i="2"/>
  <c r="L494" i="2"/>
  <c r="L394" i="2"/>
  <c r="L346" i="2"/>
  <c r="L317" i="2"/>
  <c r="L292" i="2"/>
  <c r="L208" i="2"/>
  <c r="L153" i="2"/>
  <c r="L42" i="2"/>
  <c r="L15" i="2"/>
  <c r="K314" i="2"/>
  <c r="J314" i="2"/>
  <c r="K282" i="2"/>
  <c r="L282" i="2"/>
  <c r="L218" i="2"/>
  <c r="K218" i="2"/>
  <c r="K138" i="2"/>
  <c r="J138" i="2"/>
  <c r="K90" i="2"/>
  <c r="L90" i="2"/>
  <c r="K26" i="2"/>
  <c r="L26" i="2"/>
  <c r="J378" i="2"/>
  <c r="K298" i="2"/>
  <c r="J473" i="2"/>
  <c r="K473" i="2"/>
  <c r="J409" i="2"/>
  <c r="K409" i="2"/>
  <c r="J361" i="2"/>
  <c r="K361" i="2"/>
  <c r="J329" i="2"/>
  <c r="L329" i="2"/>
  <c r="J105" i="2"/>
  <c r="K105" i="2"/>
  <c r="L250" i="2"/>
  <c r="L57" i="2"/>
  <c r="J360" i="2"/>
  <c r="L360" i="2"/>
  <c r="K360" i="2"/>
  <c r="J312" i="2"/>
  <c r="K312" i="2"/>
  <c r="L312" i="2"/>
  <c r="K153" i="2"/>
  <c r="L330" i="2"/>
  <c r="L138" i="2"/>
  <c r="L25" i="2"/>
  <c r="L217" i="2"/>
  <c r="L137" i="2"/>
  <c r="K329" i="2"/>
  <c r="J485" i="2"/>
  <c r="L485" i="2"/>
  <c r="J341" i="2"/>
  <c r="L341" i="2"/>
  <c r="J261" i="2"/>
  <c r="L261" i="2"/>
  <c r="K53" i="2"/>
  <c r="L53" i="2"/>
  <c r="J424" i="2"/>
  <c r="K436" i="2"/>
  <c r="J436" i="2"/>
  <c r="J372" i="2"/>
  <c r="K372" i="2"/>
  <c r="L324" i="2"/>
  <c r="K324" i="2"/>
  <c r="J196" i="2"/>
  <c r="L196" i="2"/>
  <c r="K481" i="2"/>
  <c r="L481" i="2"/>
  <c r="J401" i="2"/>
  <c r="L401" i="2"/>
  <c r="K401" i="2"/>
  <c r="K321" i="2"/>
  <c r="L321" i="2"/>
  <c r="J289" i="2"/>
  <c r="K289" i="2"/>
  <c r="J225" i="2"/>
  <c r="K225" i="2"/>
  <c r="J193" i="2"/>
  <c r="K193" i="2"/>
  <c r="K129" i="2"/>
  <c r="J129" i="2"/>
  <c r="J81" i="2"/>
  <c r="K81" i="2"/>
  <c r="K85" i="2"/>
  <c r="L393" i="2"/>
  <c r="L340" i="2"/>
  <c r="L265" i="2"/>
  <c r="J480" i="2"/>
  <c r="L480" i="2"/>
  <c r="K480" i="2"/>
  <c r="J448" i="2"/>
  <c r="K448" i="2"/>
  <c r="J400" i="2"/>
  <c r="L400" i="2"/>
  <c r="K400" i="2"/>
  <c r="J304" i="2"/>
  <c r="L304" i="2"/>
  <c r="J288" i="2"/>
  <c r="K288" i="2"/>
  <c r="J224" i="2"/>
  <c r="K224" i="2"/>
  <c r="J176" i="2"/>
  <c r="L176" i="2"/>
  <c r="J324" i="2"/>
  <c r="J228" i="2"/>
  <c r="K308" i="2"/>
  <c r="K228" i="2"/>
  <c r="K84" i="2"/>
  <c r="K32" i="2"/>
  <c r="L468" i="2"/>
  <c r="L339" i="2"/>
  <c r="L288" i="2"/>
  <c r="L257" i="2"/>
  <c r="L177" i="2"/>
  <c r="L64" i="2"/>
  <c r="J479" i="2"/>
  <c r="L479" i="2"/>
  <c r="K479" i="2"/>
  <c r="J447" i="2"/>
  <c r="K447" i="2"/>
  <c r="J399" i="2"/>
  <c r="K399" i="2"/>
  <c r="J383" i="2"/>
  <c r="L383" i="2"/>
  <c r="J319" i="2"/>
  <c r="K319" i="2"/>
  <c r="J303" i="2"/>
  <c r="L303" i="2"/>
  <c r="J287" i="2"/>
  <c r="L287" i="2"/>
  <c r="J223" i="2"/>
  <c r="K223" i="2"/>
  <c r="L223" i="2"/>
  <c r="J175" i="2"/>
  <c r="L175" i="2"/>
  <c r="J159" i="2"/>
  <c r="L159" i="2"/>
  <c r="J47" i="2"/>
  <c r="L47" i="2"/>
  <c r="J31" i="2"/>
  <c r="K31" i="2"/>
  <c r="L31" i="2"/>
  <c r="J490" i="2"/>
  <c r="J408" i="2"/>
  <c r="J323" i="2"/>
  <c r="J51" i="2"/>
  <c r="K413" i="2"/>
  <c r="K352" i="2"/>
  <c r="K265" i="2"/>
  <c r="K217" i="2"/>
  <c r="K80" i="2"/>
  <c r="L438" i="2"/>
  <c r="L337" i="2"/>
  <c r="L314" i="2"/>
  <c r="L256" i="2"/>
  <c r="L173" i="2"/>
  <c r="L148" i="2"/>
  <c r="L122" i="2"/>
  <c r="L63" i="2"/>
  <c r="L37" i="2"/>
  <c r="J462" i="2"/>
  <c r="L462" i="2"/>
  <c r="J446" i="2"/>
  <c r="L446" i="2"/>
  <c r="J414" i="2"/>
  <c r="K414" i="2"/>
  <c r="J382" i="2"/>
  <c r="L382" i="2"/>
  <c r="J318" i="2"/>
  <c r="K318" i="2"/>
  <c r="J302" i="2"/>
  <c r="L302" i="2"/>
  <c r="J286" i="2"/>
  <c r="K286" i="2"/>
  <c r="J254" i="2"/>
  <c r="K254" i="2"/>
  <c r="J238" i="2"/>
  <c r="L238" i="2"/>
  <c r="J174" i="2"/>
  <c r="L174" i="2"/>
  <c r="J158" i="2"/>
  <c r="K158" i="2"/>
  <c r="J110" i="2"/>
  <c r="L110" i="2"/>
  <c r="J78" i="2"/>
  <c r="K78" i="2"/>
  <c r="J62" i="2"/>
  <c r="K62" i="2"/>
  <c r="J46" i="2"/>
  <c r="L46" i="2"/>
  <c r="J482" i="2"/>
  <c r="J404" i="2"/>
  <c r="J321" i="2"/>
  <c r="J218" i="2"/>
  <c r="J50" i="2"/>
  <c r="K458" i="2"/>
  <c r="K408" i="2"/>
  <c r="K351" i="2"/>
  <c r="K304" i="2"/>
  <c r="K256" i="2"/>
  <c r="K169" i="2"/>
  <c r="K79" i="2"/>
  <c r="L490" i="2"/>
  <c r="L464" i="2"/>
  <c r="L437" i="2"/>
  <c r="L388" i="2"/>
  <c r="L361" i="2"/>
  <c r="L336" i="2"/>
  <c r="L313" i="2"/>
  <c r="L285" i="2"/>
  <c r="L255" i="2"/>
  <c r="L62" i="2"/>
  <c r="L36" i="2"/>
  <c r="K442" i="2"/>
  <c r="L442" i="2"/>
  <c r="J442" i="2"/>
  <c r="K410" i="2"/>
  <c r="J410" i="2"/>
  <c r="J362" i="2"/>
  <c r="L362" i="2"/>
  <c r="K362" i="2"/>
  <c r="J489" i="2"/>
  <c r="K489" i="2"/>
  <c r="K457" i="2"/>
  <c r="J457" i="2"/>
  <c r="J345" i="2"/>
  <c r="L345" i="2"/>
  <c r="J233" i="2"/>
  <c r="K233" i="2"/>
  <c r="J121" i="2"/>
  <c r="K121" i="2"/>
  <c r="J73" i="2"/>
  <c r="K73" i="2"/>
  <c r="J41" i="2"/>
  <c r="K41" i="2"/>
  <c r="J185" i="2"/>
  <c r="L457" i="2"/>
  <c r="J392" i="2"/>
  <c r="K392" i="2"/>
  <c r="L392" i="2"/>
  <c r="J344" i="2"/>
  <c r="L344" i="2"/>
  <c r="L280" i="2"/>
  <c r="J280" i="2"/>
  <c r="L249" i="2"/>
  <c r="J282" i="2"/>
  <c r="K281" i="2"/>
  <c r="L106" i="2"/>
  <c r="K280" i="2"/>
  <c r="L298" i="2"/>
  <c r="L105" i="2"/>
  <c r="K245" i="2"/>
  <c r="L245" i="2"/>
  <c r="J197" i="2"/>
  <c r="L197" i="2"/>
  <c r="K133" i="2"/>
  <c r="L133" i="2"/>
  <c r="K328" i="2"/>
  <c r="L501" i="2"/>
  <c r="J497" i="2"/>
  <c r="K497" i="2"/>
  <c r="L497" i="2"/>
  <c r="J465" i="2"/>
  <c r="L465" i="2"/>
  <c r="J145" i="2"/>
  <c r="K145" i="2"/>
  <c r="J33" i="2"/>
  <c r="K33" i="2"/>
  <c r="J500" i="2"/>
  <c r="J328" i="2"/>
  <c r="K42" i="2"/>
  <c r="L289" i="2"/>
  <c r="L234" i="2"/>
  <c r="L180" i="2"/>
  <c r="L65" i="2"/>
  <c r="L41" i="2"/>
  <c r="J320" i="2"/>
  <c r="K320" i="2"/>
  <c r="J192" i="2"/>
  <c r="K192" i="2"/>
  <c r="J144" i="2"/>
  <c r="K144" i="2"/>
  <c r="J48" i="2"/>
  <c r="L48" i="2"/>
  <c r="J461" i="2"/>
  <c r="L461" i="2"/>
  <c r="J381" i="2"/>
  <c r="L381" i="2"/>
  <c r="J253" i="2"/>
  <c r="K253" i="2"/>
  <c r="K205" i="2"/>
  <c r="J205" i="2"/>
  <c r="J189" i="2"/>
  <c r="K189" i="2"/>
  <c r="J125" i="2"/>
  <c r="K125" i="2"/>
  <c r="J109" i="2"/>
  <c r="K109" i="2"/>
  <c r="K61" i="2"/>
  <c r="J61" i="2"/>
  <c r="J481" i="2"/>
  <c r="J385" i="2"/>
  <c r="J212" i="2"/>
  <c r="J26" i="2"/>
  <c r="K456" i="2"/>
  <c r="K345" i="2"/>
  <c r="K303" i="2"/>
  <c r="K255" i="2"/>
  <c r="K122" i="2"/>
  <c r="L489" i="2"/>
  <c r="L463" i="2"/>
  <c r="L436" i="2"/>
  <c r="L385" i="2"/>
  <c r="L335" i="2"/>
  <c r="L202" i="2"/>
  <c r="L144" i="2"/>
  <c r="L89" i="2"/>
  <c r="L61" i="2"/>
  <c r="L33" i="2"/>
  <c r="L9" i="2"/>
  <c r="K59" i="2"/>
  <c r="J59" i="2"/>
  <c r="J411" i="2"/>
  <c r="J347" i="2"/>
  <c r="J283" i="2"/>
  <c r="J88" i="2"/>
  <c r="K299" i="2"/>
  <c r="L267" i="2"/>
  <c r="L203" i="2"/>
  <c r="L139" i="2"/>
  <c r="J264" i="2"/>
  <c r="L264" i="2"/>
  <c r="J232" i="2"/>
  <c r="L232" i="2"/>
  <c r="J216" i="2"/>
  <c r="L216" i="2"/>
  <c r="J200" i="2"/>
  <c r="L200" i="2"/>
  <c r="J168" i="2"/>
  <c r="K168" i="2"/>
  <c r="L168" i="2"/>
  <c r="J136" i="2"/>
  <c r="K136" i="2"/>
  <c r="L136" i="2"/>
  <c r="J120" i="2"/>
  <c r="L120" i="2"/>
  <c r="J72" i="2"/>
  <c r="K72" i="2"/>
  <c r="L72" i="2"/>
  <c r="J56" i="2"/>
  <c r="L56" i="2"/>
  <c r="J40" i="2"/>
  <c r="L40" i="2"/>
  <c r="J8" i="2"/>
  <c r="K8" i="2"/>
  <c r="L8" i="2"/>
  <c r="K443" i="2"/>
  <c r="K40" i="2"/>
  <c r="L443" i="2"/>
  <c r="L134" i="2"/>
  <c r="J267" i="2"/>
  <c r="L342" i="2"/>
  <c r="L283" i="2"/>
  <c r="L219" i="2"/>
  <c r="L91" i="2"/>
  <c r="K251" i="2"/>
  <c r="K184" i="2"/>
  <c r="K107" i="2"/>
  <c r="L471" i="2"/>
  <c r="L455" i="2"/>
  <c r="L439" i="2"/>
  <c r="L375" i="2"/>
  <c r="L359" i="2"/>
  <c r="L311" i="2"/>
  <c r="L279" i="2"/>
  <c r="L263" i="2"/>
  <c r="L231" i="2"/>
  <c r="L215" i="2"/>
  <c r="L103" i="2"/>
  <c r="L87" i="2"/>
  <c r="L55" i="2"/>
  <c r="L23" i="2"/>
  <c r="K252" i="2"/>
  <c r="J487" i="2"/>
  <c r="K487" i="2"/>
  <c r="K423" i="2"/>
  <c r="J423" i="2"/>
  <c r="K407" i="2"/>
  <c r="J407" i="2"/>
  <c r="J391" i="2"/>
  <c r="K391" i="2"/>
  <c r="J343" i="2"/>
  <c r="K343" i="2"/>
  <c r="J327" i="2"/>
  <c r="K327" i="2"/>
  <c r="J295" i="2"/>
  <c r="K295" i="2"/>
  <c r="J247" i="2"/>
  <c r="K247" i="2"/>
  <c r="K199" i="2"/>
  <c r="J199" i="2"/>
  <c r="J183" i="2"/>
  <c r="K183" i="2"/>
  <c r="J167" i="2"/>
  <c r="K167" i="2"/>
  <c r="K151" i="2"/>
  <c r="J151" i="2"/>
  <c r="J135" i="2"/>
  <c r="K135" i="2"/>
  <c r="J119" i="2"/>
  <c r="K119" i="2"/>
  <c r="J71" i="2"/>
  <c r="K71" i="2"/>
  <c r="J39" i="2"/>
  <c r="K39" i="2"/>
  <c r="J7" i="2"/>
  <c r="K7" i="2"/>
  <c r="K55" i="2"/>
  <c r="K470" i="2"/>
  <c r="J470" i="2"/>
  <c r="K406" i="2"/>
  <c r="J406" i="2"/>
  <c r="J390" i="2"/>
  <c r="K390" i="2"/>
  <c r="J326" i="2"/>
  <c r="K326" i="2"/>
  <c r="K262" i="2"/>
  <c r="J262" i="2"/>
  <c r="J198" i="2"/>
  <c r="K198" i="2"/>
  <c r="J182" i="2"/>
  <c r="K182" i="2"/>
  <c r="K150" i="2"/>
  <c r="J150" i="2"/>
  <c r="J118" i="2"/>
  <c r="K118" i="2"/>
  <c r="J70" i="2"/>
  <c r="K70" i="2"/>
  <c r="J6" i="2"/>
  <c r="K6" i="2"/>
  <c r="K359" i="2"/>
  <c r="K469" i="2"/>
  <c r="J469" i="2"/>
  <c r="K405" i="2"/>
  <c r="J405" i="2"/>
  <c r="J389" i="2"/>
  <c r="K389" i="2"/>
  <c r="J373" i="2"/>
  <c r="K373" i="2"/>
  <c r="J325" i="2"/>
  <c r="K325" i="2"/>
  <c r="J309" i="2"/>
  <c r="K309" i="2"/>
  <c r="J277" i="2"/>
  <c r="K277" i="2"/>
  <c r="J229" i="2"/>
  <c r="K229" i="2"/>
  <c r="K149" i="2"/>
  <c r="J149" i="2"/>
  <c r="J117" i="2"/>
  <c r="K117" i="2"/>
  <c r="J69" i="2"/>
  <c r="K69" i="2"/>
  <c r="J21" i="2"/>
  <c r="K21" i="2"/>
  <c r="J5" i="2"/>
  <c r="K5" i="2"/>
  <c r="J454" i="2"/>
  <c r="K439" i="2"/>
  <c r="K358" i="2"/>
  <c r="K279" i="2"/>
  <c r="K166" i="2"/>
  <c r="J453" i="2"/>
  <c r="J278" i="2"/>
  <c r="J165" i="2"/>
  <c r="K438" i="2"/>
  <c r="K357" i="2"/>
  <c r="K437" i="2"/>
  <c r="K134" i="2"/>
  <c r="J263" i="2"/>
  <c r="J102" i="2"/>
  <c r="J54" i="2"/>
  <c r="K486" i="2"/>
  <c r="J53" i="2"/>
  <c r="K485" i="2"/>
  <c r="K103" i="2"/>
  <c r="K215" i="2"/>
  <c r="K455" i="2"/>
  <c r="K214" i="2"/>
  <c r="K101" i="2"/>
  <c r="K375" i="2"/>
  <c r="K294" i="2"/>
  <c r="K213" i="2"/>
  <c r="J493" i="2"/>
  <c r="K493" i="2"/>
  <c r="K477" i="2"/>
  <c r="J477" i="2"/>
  <c r="J445" i="2"/>
  <c r="K445" i="2"/>
  <c r="J429" i="2"/>
  <c r="K429" i="2"/>
  <c r="J365" i="2"/>
  <c r="K365" i="2"/>
  <c r="J349" i="2"/>
  <c r="K349" i="2"/>
  <c r="J301" i="2"/>
  <c r="K301" i="2"/>
  <c r="J221" i="2"/>
  <c r="K221" i="2"/>
  <c r="J157" i="2"/>
  <c r="K157" i="2"/>
  <c r="J141" i="2"/>
  <c r="K141" i="2"/>
  <c r="J93" i="2"/>
  <c r="K93" i="2"/>
  <c r="J77" i="2"/>
  <c r="K77" i="2"/>
  <c r="J45" i="2"/>
  <c r="K45" i="2"/>
  <c r="J29" i="2"/>
  <c r="K29" i="2"/>
  <c r="J246" i="2"/>
  <c r="K374" i="2"/>
  <c r="K342" i="2"/>
  <c r="K293" i="2"/>
  <c r="J492" i="2"/>
  <c r="K492" i="2"/>
  <c r="J460" i="2"/>
  <c r="K460" i="2"/>
  <c r="J428" i="2"/>
  <c r="K428" i="2"/>
  <c r="J412" i="2"/>
  <c r="K412" i="2"/>
  <c r="J364" i="2"/>
  <c r="K364" i="2"/>
  <c r="J348" i="2"/>
  <c r="K348" i="2"/>
  <c r="J332" i="2"/>
  <c r="K332" i="2"/>
  <c r="J268" i="2"/>
  <c r="K268" i="2"/>
  <c r="J220" i="2"/>
  <c r="K220" i="2"/>
  <c r="J156" i="2"/>
  <c r="K156" i="2"/>
  <c r="J92" i="2"/>
  <c r="K92" i="2"/>
  <c r="J76" i="2"/>
  <c r="K76" i="2"/>
  <c r="J28" i="2"/>
  <c r="K28" i="2"/>
  <c r="J12" i="2"/>
  <c r="K12" i="2"/>
  <c r="J476" i="2"/>
  <c r="J245" i="2"/>
  <c r="K397" i="2"/>
  <c r="K341" i="2"/>
  <c r="K261" i="2"/>
  <c r="K38" i="2"/>
  <c r="K459" i="2"/>
  <c r="J459" i="2"/>
  <c r="K427" i="2"/>
  <c r="J427" i="2"/>
  <c r="K363" i="2"/>
  <c r="J363" i="2"/>
  <c r="J331" i="2"/>
  <c r="K331" i="2"/>
  <c r="J187" i="2"/>
  <c r="K187" i="2"/>
  <c r="J75" i="2"/>
  <c r="K75" i="2"/>
  <c r="J27" i="2"/>
  <c r="K27" i="2"/>
  <c r="J11" i="2"/>
  <c r="K11" i="2"/>
  <c r="J475" i="2"/>
  <c r="J133" i="2"/>
  <c r="K396" i="2"/>
  <c r="K173" i="2"/>
  <c r="K37" i="2"/>
  <c r="K426" i="2"/>
  <c r="J426" i="2"/>
  <c r="J266" i="2"/>
  <c r="K266" i="2"/>
  <c r="J186" i="2"/>
  <c r="K186" i="2"/>
  <c r="J74" i="2"/>
  <c r="K74" i="2"/>
  <c r="J10" i="2"/>
  <c r="K10" i="2"/>
  <c r="J474" i="2"/>
  <c r="J285" i="2"/>
  <c r="J23" i="2"/>
  <c r="K421" i="2"/>
  <c r="K395" i="2"/>
  <c r="K311" i="2"/>
  <c r="K172" i="2"/>
  <c r="J483" i="2"/>
  <c r="K483" i="2"/>
  <c r="J467" i="2"/>
  <c r="K467" i="2"/>
  <c r="K451" i="2"/>
  <c r="J451" i="2"/>
  <c r="J371" i="2"/>
  <c r="K371" i="2"/>
  <c r="K307" i="2"/>
  <c r="J307" i="2"/>
  <c r="J275" i="2"/>
  <c r="K275" i="2"/>
  <c r="K243" i="2"/>
  <c r="J243" i="2"/>
  <c r="J195" i="2"/>
  <c r="K195" i="2"/>
  <c r="K179" i="2"/>
  <c r="J179" i="2"/>
  <c r="J131" i="2"/>
  <c r="K131" i="2"/>
  <c r="J115" i="2"/>
  <c r="K115" i="2"/>
  <c r="K83" i="2"/>
  <c r="J83" i="2"/>
  <c r="J19" i="2"/>
  <c r="K19" i="2"/>
  <c r="J3" i="2"/>
  <c r="K3" i="2"/>
  <c r="J35" i="2"/>
  <c r="J466" i="2"/>
  <c r="K466" i="2"/>
  <c r="K418" i="2"/>
  <c r="J418" i="2"/>
  <c r="K306" i="2"/>
  <c r="J306" i="2"/>
  <c r="J274" i="2"/>
  <c r="K274" i="2"/>
  <c r="K242" i="2"/>
  <c r="J242" i="2"/>
  <c r="K210" i="2"/>
  <c r="J210" i="2"/>
  <c r="J194" i="2"/>
  <c r="K194" i="2"/>
  <c r="K178" i="2"/>
  <c r="J178" i="2"/>
  <c r="K162" i="2"/>
  <c r="J162" i="2"/>
  <c r="K146" i="2"/>
  <c r="J146" i="2"/>
  <c r="K82" i="2"/>
  <c r="J82" i="2"/>
  <c r="J18" i="2"/>
  <c r="K18" i="2"/>
  <c r="J2" i="2"/>
  <c r="K2" i="2"/>
  <c r="J34" i="2"/>
  <c r="J259" i="2"/>
  <c r="J496" i="2"/>
  <c r="K496" i="2"/>
  <c r="J368" i="2"/>
  <c r="K368" i="2"/>
  <c r="J240" i="2"/>
  <c r="K240" i="2"/>
  <c r="J112" i="2"/>
  <c r="K112" i="2"/>
  <c r="J499" i="2"/>
  <c r="J403" i="2"/>
  <c r="J291" i="2"/>
  <c r="J258" i="2"/>
  <c r="J495" i="2"/>
  <c r="K495" i="2"/>
  <c r="J367" i="2"/>
  <c r="K367" i="2"/>
  <c r="J239" i="2"/>
  <c r="K239" i="2"/>
  <c r="J111" i="2"/>
  <c r="K111" i="2"/>
  <c r="J95" i="2"/>
  <c r="K95" i="2"/>
  <c r="J498" i="2"/>
  <c r="J402" i="2"/>
  <c r="J290" i="2"/>
  <c r="J257" i="2"/>
  <c r="J227" i="2"/>
  <c r="J67" i="2"/>
  <c r="K384" i="2"/>
  <c r="K176" i="2"/>
  <c r="J478" i="2"/>
  <c r="K478" i="2"/>
  <c r="J350" i="2"/>
  <c r="K350" i="2"/>
  <c r="J222" i="2"/>
  <c r="K222" i="2"/>
  <c r="J94" i="2"/>
  <c r="K94" i="2"/>
  <c r="J226" i="2"/>
  <c r="J147" i="2"/>
  <c r="J66" i="2"/>
  <c r="K465" i="2"/>
  <c r="K383" i="2"/>
  <c r="K175" i="2"/>
  <c r="K110" i="2"/>
  <c r="K441" i="2"/>
  <c r="K313" i="2"/>
  <c r="K57" i="2"/>
  <c r="G2" i="6" l="1" a="1"/>
  <c r="Q10" i="6"/>
  <c r="Q18" i="6"/>
  <c r="I2" i="6"/>
  <c r="M2" i="6" s="1" a="1"/>
  <c r="M2" i="6" s="1"/>
  <c r="Q13" i="6"/>
  <c r="Q11" i="6"/>
  <c r="J2" i="6" a="1"/>
  <c r="K2" i="6"/>
  <c r="Q19" i="6" s="1"/>
  <c r="Q21" i="6"/>
  <c r="L2" i="6" a="1"/>
  <c r="G2" i="6"/>
  <c r="Q4" i="6"/>
  <c r="H2" i="6" a="1"/>
  <c r="N2" i="6" l="1" a="1"/>
  <c r="N2" i="6" s="1"/>
  <c r="J2" i="6"/>
  <c r="Q12" i="6"/>
  <c r="H2" i="6"/>
  <c r="Q5" i="6"/>
  <c r="L2" i="6"/>
  <c r="Q20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ED15A0-F85B-45D3-9894-3EBBD1D0F84A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2" xr16:uid="{B0AAB8BB-90C6-44ED-B522-AB790C3A46A9}" keepAlive="1" name="Query - market_benchmarks" description="Connection to the 'market_benchmarks' query in the workbook." type="5" refreshedVersion="8" background="1" saveData="1">
    <dbPr connection="Provider=Microsoft.Mashup.OleDb.1;Data Source=$Workbook$;Location=market_benchmarks;Extended Properties=&quot;&quot;" command="SELECT * FROM [market_benchmark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<sst xmlns="http://schemas.openxmlformats.org/spreadsheetml/2006/main" count="2677" uniqueCount="612">
  <si>
    <t>Employee_ID</t>
  </si>
  <si>
    <t>Department</t>
  </si>
  <si>
    <t>Job_Title</t>
  </si>
  <si>
    <t>Job_Level</t>
  </si>
  <si>
    <t>Location</t>
  </si>
  <si>
    <t>Years_Service</t>
  </si>
  <si>
    <t>Current_Salary</t>
  </si>
  <si>
    <t>Performance_Rating</t>
  </si>
  <si>
    <t>E0001</t>
  </si>
  <si>
    <t>Information Technology</t>
  </si>
  <si>
    <t>IT Support Analyst</t>
  </si>
  <si>
    <t>L1</t>
  </si>
  <si>
    <t>Halifax</t>
  </si>
  <si>
    <t>E0002</t>
  </si>
  <si>
    <t>Human Resources</t>
  </si>
  <si>
    <t>HR Advisor</t>
  </si>
  <si>
    <t>L3</t>
  </si>
  <si>
    <t>E0003</t>
  </si>
  <si>
    <t>Policy &amp; Research</t>
  </si>
  <si>
    <t>Senior Policy Analyst</t>
  </si>
  <si>
    <t>E0004</t>
  </si>
  <si>
    <t>E0005</t>
  </si>
  <si>
    <t>Operations</t>
  </si>
  <si>
    <t>Operations Assistant</t>
  </si>
  <si>
    <t>E0006</t>
  </si>
  <si>
    <t>Senior Systems Analyst</t>
  </si>
  <si>
    <t>E0007</t>
  </si>
  <si>
    <t>E0008</t>
  </si>
  <si>
    <t>Research Assistant</t>
  </si>
  <si>
    <t>E0009</t>
  </si>
  <si>
    <t>Administration</t>
  </si>
  <si>
    <t>Administrative Coordinator</t>
  </si>
  <si>
    <t>L2</t>
  </si>
  <si>
    <t>E0010</t>
  </si>
  <si>
    <t>E0011</t>
  </si>
  <si>
    <t>E0012</t>
  </si>
  <si>
    <t>Operations Analyst</t>
  </si>
  <si>
    <t>E0013</t>
  </si>
  <si>
    <t>Finance</t>
  </si>
  <si>
    <t>Financial Analyst</t>
  </si>
  <si>
    <t>E0014</t>
  </si>
  <si>
    <t>Operations Manager</t>
  </si>
  <si>
    <t>E0015</t>
  </si>
  <si>
    <t>Policy Analyst</t>
  </si>
  <si>
    <t>E0016</t>
  </si>
  <si>
    <t>E0017</t>
  </si>
  <si>
    <t>E0018</t>
  </si>
  <si>
    <t>E0019</t>
  </si>
  <si>
    <t>HR Assistant</t>
  </si>
  <si>
    <t>E0020</t>
  </si>
  <si>
    <t>E0021</t>
  </si>
  <si>
    <t>E0022</t>
  </si>
  <si>
    <t>E0023</t>
  </si>
  <si>
    <t>Administrative Assistant</t>
  </si>
  <si>
    <t>E0024</t>
  </si>
  <si>
    <t>Finance Assistant</t>
  </si>
  <si>
    <t>E0025</t>
  </si>
  <si>
    <t>E0026</t>
  </si>
  <si>
    <t>E0027</t>
  </si>
  <si>
    <t>E0028</t>
  </si>
  <si>
    <t>Systems Analyst</t>
  </si>
  <si>
    <t>E0029</t>
  </si>
  <si>
    <t>E0030</t>
  </si>
  <si>
    <t>E0031</t>
  </si>
  <si>
    <t>E0032</t>
  </si>
  <si>
    <t>HR Analyst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</si>
  <si>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</si>
  <si>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</si>
  <si>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</si>
  <si>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</si>
  <si>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</si>
  <si>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</si>
  <si>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</si>
  <si>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</si>
  <si>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</si>
  <si>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</si>
  <si>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Office Manager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</si>
  <si>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</si>
  <si>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</si>
  <si>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</si>
  <si>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</si>
  <si>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</si>
  <si>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</si>
  <si>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</si>
  <si>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</si>
  <si>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</si>
  <si>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</si>
  <si>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</si>
  <si>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</si>
  <si>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</si>
  <si>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</si>
  <si>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</si>
  <si>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</si>
  <si>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</si>
  <si>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</si>
  <si>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</si>
  <si>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Senior Financial Analyst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</si>
  <si>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</si>
  <si>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</si>
  <si>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</si>
  <si>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</si>
  <si>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</si>
  <si>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</si>
  <si>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</si>
  <si>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</si>
  <si>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</si>
  <si>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</si>
  <si>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</si>
  <si>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</si>
  <si>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</si>
  <si>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</si>
  <si>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</si>
  <si>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</si>
  <si>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</si>
  <si>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</si>
  <si>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</si>
  <si>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</si>
  <si>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</si>
  <si>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</si>
  <si>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</si>
  <si>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</si>
  <si>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</si>
  <si>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</si>
  <si>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</si>
  <si>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</si>
  <si>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</si>
  <si>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</si>
  <si>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</si>
  <si>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</si>
  <si>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</si>
  <si>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</si>
  <si>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</si>
  <si>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</si>
  <si>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</si>
  <si>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</si>
  <si>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</si>
  <si>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</si>
  <si>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</si>
  <si>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</si>
  <si>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</si>
  <si>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</si>
  <si>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</si>
  <si>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</si>
  <si>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</si>
  <si>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</si>
  <si>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</si>
  <si>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</si>
  <si>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</si>
  <si>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</si>
  <si>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</si>
  <si>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</si>
  <si>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</si>
  <si>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</si>
  <si>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</si>
  <si>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</si>
  <si>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</si>
  <si>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</si>
  <si>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</si>
  <si>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</si>
  <si>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</si>
  <si>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</si>
  <si>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</si>
  <si>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</si>
  <si>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</si>
  <si>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</si>
  <si>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</si>
  <si>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</si>
  <si>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</si>
  <si>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</si>
  <si>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</si>
  <si>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</si>
  <si>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</si>
  <si>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</si>
  <si>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</si>
  <si>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</si>
  <si>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</si>
  <si>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</si>
  <si>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</si>
  <si>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</si>
  <si>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</si>
  <si>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</si>
  <si>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</si>
  <si>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</si>
  <si>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</si>
  <si>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</si>
  <si>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</si>
  <si>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</si>
  <si>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</si>
  <si>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</si>
  <si>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</si>
  <si>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</si>
  <si>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</si>
  <si>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</si>
  <si>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</si>
  <si>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</si>
  <si>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</si>
  <si>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</si>
  <si>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</si>
  <si>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</si>
  <si>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</si>
  <si>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</si>
  <si>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</si>
  <si>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</si>
  <si>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</si>
  <si>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</si>
  <si>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</si>
  <si>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</si>
  <si>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</si>
  <si>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</si>
  <si>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</si>
  <si>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</si>
  <si>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</si>
  <si>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</si>
  <si>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</si>
  <si>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</si>
  <si>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</si>
  <si>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</si>
  <si>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</si>
  <si>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</si>
  <si>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</si>
  <si>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</si>
  <si>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</si>
  <si>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</si>
  <si>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</si>
  <si>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</si>
  <si>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</si>
  <si>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</si>
  <si>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</si>
  <si>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</si>
  <si>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</si>
  <si>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</si>
  <si>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</si>
  <si>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</si>
  <si>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</si>
  <si>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</si>
  <si>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</si>
  <si>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</si>
  <si>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</si>
  <si>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</si>
  <si>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</si>
  <si>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</si>
  <si>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</si>
  <si>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</si>
  <si>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</si>
  <si>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</si>
  <si>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</si>
  <si>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</si>
  <si>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</si>
  <si>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</si>
  <si>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</si>
  <si>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</si>
  <si>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</si>
  <si>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</si>
  <si>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</si>
  <si>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</si>
  <si>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</si>
  <si>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</si>
  <si>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</si>
  <si>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</si>
  <si>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</si>
  <si>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</si>
  <si>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</si>
  <si>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</si>
  <si>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</si>
  <si>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</si>
  <si>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</si>
  <si>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</si>
  <si>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</si>
  <si>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</si>
  <si>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</si>
  <si>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</si>
  <si>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</si>
  <si>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</si>
  <si>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</si>
  <si>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</si>
  <si>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</si>
  <si>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</si>
  <si>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</si>
  <si>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</si>
  <si>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</si>
  <si>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</si>
  <si>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</si>
  <si>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</si>
  <si>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</si>
  <si>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</si>
  <si>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</si>
  <si>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</si>
  <si>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</si>
  <si>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</si>
  <si>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</si>
  <si>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</si>
  <si>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</si>
  <si>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</si>
  <si>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</si>
  <si>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</si>
  <si>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</si>
  <si>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</si>
  <si>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</si>
  <si>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</si>
  <si>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</si>
  <si>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</si>
  <si>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</si>
  <si>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</si>
  <si>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</si>
  <si>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</si>
  <si>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</si>
  <si>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</si>
  <si>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</si>
  <si>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</si>
  <si>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</si>
  <si>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</si>
  <si>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</si>
  <si>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</si>
  <si>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</si>
  <si>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</si>
  <si>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</si>
  <si>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</si>
  <si>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</si>
  <si>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</si>
  <si>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</si>
  <si>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</si>
  <si>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</si>
  <si>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</si>
  <si>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</si>
  <si>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</si>
  <si>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</si>
  <si>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</si>
  <si>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</si>
  <si>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</si>
  <si>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</si>
  <si>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</si>
  <si>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</si>
  <si>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</si>
  <si>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</si>
  <si>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</si>
  <si>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</si>
  <si>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</si>
  <si>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</si>
  <si>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</si>
  <si>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</si>
  <si>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</si>
  <si>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</si>
  <si>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</si>
  <si>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</si>
  <si>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</si>
  <si>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</si>
  <si>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</si>
  <si>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</si>
  <si>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</si>
  <si>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</si>
  <si>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</si>
  <si>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</si>
  <si>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</si>
  <si>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</si>
  <si>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</si>
  <si>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</si>
  <si>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</si>
  <si>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</si>
  <si>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</si>
  <si>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</si>
  <si>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</si>
  <si>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</si>
  <si>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</si>
  <si>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</si>
  <si>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</si>
  <si>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</si>
  <si>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</si>
  <si>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</si>
  <si>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</si>
  <si>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</si>
  <si>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</si>
  <si>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</si>
  <si>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</si>
  <si>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</si>
  <si>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</si>
  <si>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</si>
  <si>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</si>
  <si>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</si>
  <si>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</si>
  <si>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</si>
  <si>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</si>
  <si>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</si>
  <si>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</si>
  <si>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</si>
  <si>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</si>
  <si>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</si>
  <si>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</si>
  <si>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</si>
  <si>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</si>
  <si>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</si>
  <si>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</si>
  <si>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</si>
  <si>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</si>
  <si>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</si>
  <si>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</si>
  <si>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</si>
  <si>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</si>
  <si>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</si>
  <si>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</si>
  <si>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</si>
  <si>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</si>
  <si>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</si>
  <si>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</si>
  <si>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</si>
  <si>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</si>
  <si>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</si>
  <si>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</si>
  <si>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</si>
  <si>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</si>
  <si>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</si>
  <si>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</si>
  <si>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</si>
  <si>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</si>
  <si>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</si>
  <si>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</si>
  <si>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</si>
  <si>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</si>
  <si>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</si>
  <si>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</si>
  <si>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</si>
  <si>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</si>
  <si>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</si>
  <si>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</si>
  <si>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</si>
  <si>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</si>
  <si>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</si>
  <si>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</si>
  <si>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</si>
  <si>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</si>
  <si>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</si>
  <si>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</si>
  <si>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</si>
  <si>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</si>
  <si>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</si>
  <si>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</si>
  <si>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</si>
  <si>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</si>
  <si>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</si>
  <si>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</si>
  <si>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</si>
  <si>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</si>
  <si>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</si>
  <si>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</si>
  <si>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</si>
  <si>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</si>
  <si>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</si>
  <si>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</si>
  <si>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</si>
  <si>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</si>
  <si>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</si>
  <si>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</si>
  <si>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</si>
  <si>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</si>
  <si>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</si>
  <si>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</si>
  <si>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</si>
  <si>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</si>
  <si>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</si>
  <si>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</si>
  <si>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</si>
  <si>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</si>
  <si>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</si>
  <si>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</si>
  <si>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</si>
  <si>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</si>
  <si>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</si>
  <si>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</si>
  <si>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</si>
  <si>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</si>
  <si>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</si>
  <si>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</si>
  <si>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</si>
  <si>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</si>
  <si>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</si>
  <si>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</si>
  <si>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</si>
  <si>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</si>
  <si>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</si>
  <si>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</si>
  <si>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</si>
  <si>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</si>
  <si>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</si>
  <si>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</si>
  <si>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</si>
  <si>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</si>
  <si>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</si>
  <si>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</si>
  <si>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</si>
  <si>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</si>
  <si>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</si>
  <si>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</si>
  <si>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</si>
  <si>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</si>
  <si>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</si>
  <si>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</si>
  <si>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</si>
  <si>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</si>
  <si>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</si>
  <si>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</si>
  <si>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</si>
  <si>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</si>
  <si>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</si>
  <si>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</si>
  <si>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</si>
  <si>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</si>
  <si>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</si>
  <si>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</si>
  <si>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</si>
  <si>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</si>
  <si>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</si>
  <si>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</si>
  <si>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</si>
  <si>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</si>
  <si>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</si>
  <si>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</si>
  <si>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</si>
  <si>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</si>
  <si>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</si>
  <si>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</si>
  <si>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</si>
  <si>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</si>
  <si>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</si>
  <si>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</si>
  <si>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</si>
  <si>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</si>
  <si>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</si>
  <si>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</si>
  <si>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</si>
  <si>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</si>
  <si>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</si>
  <si>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</si>
  <si>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</si>
  <si>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</si>
  <si>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</si>
  <si>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</si>
  <si>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</si>
  <si>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Market_Median</t>
  </si>
  <si>
    <t>Market_Position</t>
  </si>
  <si>
    <t>Market_Gap</t>
  </si>
  <si>
    <t>Market_Gap_Percent</t>
  </si>
  <si>
    <t>Compensation_Status</t>
  </si>
  <si>
    <t>Row Labels</t>
  </si>
  <si>
    <t>Grand Total</t>
  </si>
  <si>
    <t>Count of Employee_ID</t>
  </si>
  <si>
    <t>Employee Count</t>
  </si>
  <si>
    <t>Average Current Salary</t>
  </si>
  <si>
    <t>Average Market Median</t>
  </si>
  <si>
    <t>Average Market Gap</t>
  </si>
  <si>
    <t>Average Market_Position</t>
  </si>
  <si>
    <t>Above Market</t>
  </si>
  <si>
    <t>Around Market</t>
  </si>
  <si>
    <t>Below Market</t>
  </si>
  <si>
    <t>Significantly Below Market</t>
  </si>
  <si>
    <t>Column Labels</t>
  </si>
  <si>
    <t>Count Employee_ID</t>
  </si>
  <si>
    <t>Total Count Employee_ID</t>
  </si>
  <si>
    <t>Total % of Department Employees</t>
  </si>
  <si>
    <t>% of Department Employees</t>
  </si>
  <si>
    <t>Scenario_1_Adjustment</t>
  </si>
  <si>
    <t>Scenario_1_New_Salary</t>
  </si>
  <si>
    <t>Scenario_2_Adjustment</t>
  </si>
  <si>
    <t>Scenario_2_New_Salary</t>
  </si>
  <si>
    <t>Scenario_3_Adjustment</t>
  </si>
  <si>
    <t>Scenario_3_New_Salary</t>
  </si>
  <si>
    <t>Scenario 1: 3% Across-the-Board Increase</t>
  </si>
  <si>
    <t>Employees Affected</t>
  </si>
  <si>
    <t>New Payroll</t>
  </si>
  <si>
    <t>Adjustment Cost as % of Payroll</t>
  </si>
  <si>
    <t>Adjustment Cost as % of Payroll:</t>
  </si>
  <si>
    <t>Scenario 2: Bring employees below 90% of market up to 90%</t>
  </si>
  <si>
    <t>Scenario 3: Bring employees below 95% of market up to 95%.</t>
  </si>
  <si>
    <t>Employees Affected:</t>
  </si>
  <si>
    <t>Current Payroll:</t>
  </si>
  <si>
    <t>Total Adjustment Cost:</t>
  </si>
  <si>
    <t>New Payroll:</t>
  </si>
  <si>
    <t>Scenario 2 Cost</t>
  </si>
  <si>
    <t>Scenario 3 Cost</t>
  </si>
  <si>
    <t>Scenario_2_Affected</t>
  </si>
  <si>
    <t>Scenario_3_Affected</t>
  </si>
  <si>
    <t>Scenario 2 Employees</t>
  </si>
  <si>
    <t>Scenario 3 Employees</t>
  </si>
  <si>
    <t>Scenario</t>
  </si>
  <si>
    <t>Total Cost</t>
  </si>
  <si>
    <t>% of Payroll</t>
  </si>
  <si>
    <t>3% Across-the-Board</t>
  </si>
  <si>
    <t>Target to 90% of Market</t>
  </si>
  <si>
    <t>Target to 95% of Market</t>
  </si>
  <si>
    <t>Average Cost per Affected Employee</t>
  </si>
  <si>
    <t>Employee Compensation &amp; Pay Adjustment Analysis</t>
  </si>
  <si>
    <t>Market Position, Compensation Gaps &amp; Pay Adjustment Costing</t>
  </si>
  <si>
    <t>TOTAL EMPLOYEES</t>
  </si>
  <si>
    <t>CURRENT PAYROLL</t>
  </si>
  <si>
    <t>AVG MARKET POSITION</t>
  </si>
  <si>
    <t>KEY FINDINGS &amp; RECOMMENDATION</t>
  </si>
  <si>
    <r>
      <rPr>
        <sz val="14"/>
        <color theme="1"/>
        <rFont val="Aptos Narrow"/>
        <family val="2"/>
        <scheme val="minor"/>
      </rPr>
      <t xml:space="preserve">• Average workforce market position is 95.6%; however, 45.6% of employees are below 95% of market.
• Administration has the lowest average market position (94.8%) and the highest share significantly below market (20.7%).
• A targeted adjustment to 90% of market would affect 140 employees and cost $634,200 (1.95% of payroll).
• A 95% market target would affect 228 employees and cost $1.254M (3.86% of payroll).
• </t>
    </r>
    <r>
      <rPr>
        <b/>
        <sz val="14"/>
        <color theme="1"/>
        <rFont val="Aptos Narrow"/>
        <family val="2"/>
        <scheme val="minor"/>
      </rPr>
      <t>Recommendation</t>
    </r>
    <r>
      <rPr>
        <sz val="14"/>
        <color theme="1"/>
        <rFont val="Aptos Narrow"/>
        <family val="2"/>
        <scheme val="minor"/>
      </rPr>
      <t>: Consider the 90% targeted adjustment as the more cost-controlled immediate option, while evaluating broader market alignment as a longer-term strategy.</t>
    </r>
  </si>
  <si>
    <t>Compensation Analysis — Key Findings &amp; Recommendations</t>
  </si>
  <si>
    <r>
      <rPr>
        <b/>
        <sz val="12"/>
        <color theme="1"/>
        <rFont val="Aptos Narrow"/>
        <family val="2"/>
        <scheme val="minor"/>
      </rPr>
      <t>Project Objective</t>
    </r>
    <r>
      <rPr>
        <sz val="11"/>
        <color theme="1"/>
        <rFont val="Aptos Narrow"/>
        <family val="2"/>
        <scheme val="minor"/>
      </rPr>
      <t xml:space="preserve">
Evaluate employee compensation relative to external market benchmarks,
identify potential pay gaps, and assess the workforce and financial impact of 
alternative pay-adjustment scenarios using Microsoft Excel.</t>
    </r>
  </si>
  <si>
    <r>
      <rPr>
        <b/>
        <sz val="12"/>
        <color theme="1"/>
        <rFont val="Aptos Narrow"/>
        <family val="2"/>
        <scheme val="minor"/>
      </rPr>
      <t>Key Findings</t>
    </r>
    <r>
      <rPr>
        <sz val="11"/>
        <color theme="1"/>
        <rFont val="Aptos Narrow"/>
        <family val="2"/>
        <scheme val="minor"/>
      </rPr>
      <t xml:space="preserve">
- The 500-employee workforce has a current annual payroll of $32.49 million and an average market position of 95.6%.
- 45.6% of employees are below 95% of the market median, including 15.8% significantly below market at less than 85%.
- Administration has the lowest average market position at 94.8% and the highest proportion of employees significantly below market at 20.7%.
- Information Technology has the largest average dollar market gap at approximately -$3,448, demonstrating that dollar gaps and relative market position can produce different perspectives.
Operations has the strongest average market position at 97.7%.</t>
    </r>
  </si>
  <si>
    <r>
      <rPr>
        <b/>
        <sz val="12"/>
        <color theme="1"/>
        <rFont val="Aptos Narrow"/>
        <family val="2"/>
        <scheme val="minor"/>
      </rPr>
      <t>Scenario Analysis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Pay Adjustment Scenario Analysis</t>
    </r>
  </si>
  <si>
    <t>Cost</t>
  </si>
  <si>
    <t>Recommendation</t>
  </si>
  <si>
    <t>EMPLOYEES BELOW 95%</t>
  </si>
  <si>
    <t>The targeted 90% market scenario has the lowest overall financial impact, costing $634,200, or 1.95% of current payroll, while directing adjustments toward 140 employees currently positioned below 90% of the market median.</t>
  </si>
  <si>
    <t>Methodology &amp; Assumptions</t>
  </si>
  <si>
    <t>* Employee records and market benchmarks are synthetic and were created solely for portfolio demonstration purposes.</t>
  </si>
  <si>
    <t>* Market-position thresholds are analytical assumptions developed for this project and do not represent Government of Nova Scotia compensation policies.</t>
  </si>
  <si>
    <t>* Market Position = Current Salary ÷ Market Median.</t>
  </si>
  <si>
    <t>* Scenario 1 applies a 3% salary increase to all employees.</t>
  </si>
  <si>
    <t>* Scenario 2 brings employees below 90% of market to the 90% threshold.</t>
  </si>
  <si>
    <t>* Scenario 3 brings employees below 95% of market to the 95% threshold.</t>
  </si>
  <si>
    <t>* Results demonstrate Excel-based compensation analysis and costing techniques and are not compensation recommendations for an actual organization.</t>
  </si>
  <si>
    <t>Based on the simulated analysis, the 90% market-target scenario provides 
the most cost-controlled immediate approach. It prioritizes employees with 
larger relative market gaps while requiring a smaller payroll investment than 
either the 3% across-the-board increase or the 95% market-target scenario. 
A broader move toward 95% of market could be evaluated as a longer-term option, 
subject to organizational priorities, compensation policy, internal equity considerations, and available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</si>
</sst>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6" formatCode="&quot;$&quot;#,##0"/>
    <numFmt numFmtId="170" formatCode="0.0%"/>
    <numFmt numFmtId="178" formatCode="&quot;$&quot;0.00,,&quot;M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/>
    <xf numFmtId="166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166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6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21"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FF7C80"/>
        </patternFill>
      </fill>
    </dxf>
    <dxf>
      <fill>
        <patternFill>
          <bgColor rgb="FFFFCCFF"/>
        </patternFill>
      </fill>
    </dxf>
    <dxf>
      <numFmt numFmtId="170" formatCode="0.0%"/>
    </dxf>
    <dxf>
      <numFmt numFmtId="0" formatCode="General"/>
    </dxf>
    <dxf>
      <numFmt numFmtId="166" formatCode="&quot;$&quot;#,##0"/>
    </dxf>
    <dxf>
      <numFmt numFmtId="170" formatCode="0.0%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CCCCFF"/>
      <color rgb="FFFFCCFF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[Employee_Compensation_Analysis.xlsx]Pivot_Analysis!PivotTable2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Compensation Status Distribution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Pivot_Analysis!$H$4:$H$8</c:f>
              <c:strCache>
                <c:ptCount val="4"/>
                <c:pt idx="0">
                  <c:v>Above Market</c:v>
                </c:pt>
                <c:pt idx="1">
                  <c:v>Around Market</c:v>
                </c:pt>
                <c:pt idx="2">
                  <c:v>Below Market</c:v>
                </c:pt>
                <c:pt idx="3">
                  <c:v>Significantly Below Market</c:v>
                </c:pt>
              </c:strCache>
            </c:strRef>
          </c:cat>
          <c:val>
            <c:numRef>
              <c:f>Pivot_Analysis!$I$4:$I$8</c:f>
              <c:numCache>
                <c:formatCode>General</c:formatCode>
                <c:ptCount val="4"/>
                <c:pt idx="0">
                  <c:v>87</c:v>
                </c:pt>
                <c:pt idx="1">
                  <c:v>185</c:v>
                </c:pt>
                <c:pt idx="2">
                  <c:v>149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E-4E75-99CC-6EBFCD755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57167"/>
        <c:axId val="1864869423"/>
      </c:barChart>
      <c:catAx>
        <c:axId val="43275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69423"/>
        <c:crosses val="autoZero"/>
        <c:auto val="1"/>
        <c:lblAlgn val="ctr"/>
        <c:lblOffset val="100"/>
        <c:noMultiLvlLbl val="0"/>
      </c:catAx>
      <c:valAx>
        <c:axId val="18648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5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[Employee_Compensation_Analysis.xlsx]Pivot_Analysis!PivotTable6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Market Position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Pivot_Analysis!$H$18:$H$24</c:f>
              <c:strCache>
                <c:ptCount val="6"/>
                <c:pt idx="0">
                  <c:v>Administration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Operations</c:v>
                </c:pt>
                <c:pt idx="5">
                  <c:v>Policy &amp; Research</c:v>
                </c:pt>
              </c:strCache>
            </c:strRef>
          </c:cat>
          <c:val>
            <c:numRef>
              <c:f>Pivot_Analysis!$I$18:$I$24</c:f>
              <c:numCache>
                <c:formatCode>0.0%</c:formatCode>
                <c:ptCount val="6"/>
                <c:pt idx="0">
                  <c:v>0.94760215166806838</c:v>
                </c:pt>
                <c:pt idx="1">
                  <c:v>0.95645726495726535</c:v>
                </c:pt>
                <c:pt idx="2">
                  <c:v>0.95192774416235226</c:v>
                </c:pt>
                <c:pt idx="3">
                  <c:v>0.95324957020217727</c:v>
                </c:pt>
                <c:pt idx="4">
                  <c:v>0.97708133623819904</c:v>
                </c:pt>
                <c:pt idx="5">
                  <c:v>0.95243425378040758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9-41C8-BA73-4458C5CDD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773407"/>
        <c:axId val="1864892463"/>
      </c:barChart>
      <c:catAx>
        <c:axId val="4327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92463"/>
        <c:crosses val="autoZero"/>
        <c:auto val="1"/>
        <c:lblAlgn val="ctr"/>
        <c:lblOffset val="100"/>
        <c:noMultiLvlLbl val="0"/>
      </c:catAx>
      <c:valAx>
        <c:axId val="186489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Pay Adjustment Scenario Cost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Pay_Adjustment!$V$1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Pay_Adjustment!$T$2:$T$4</c:f>
              <c:strCache>
                <c:ptCount val="3"/>
                <c:pt idx="0">
                  <c:v>3% Across-the-Board</c:v>
                </c:pt>
                <c:pt idx="1">
                  <c:v>Target to 90% of Market</c:v>
                </c:pt>
                <c:pt idx="2">
                  <c:v>Target to 95% of Market</c:v>
                </c:pt>
              </c:strCache>
            </c:strRef>
          </c:cat>
          <c:val>
            <c:numRef>
              <c:f>Pay_Adjustment!$V$2:$V$4</c:f>
              <c:numCache>
                <c:formatCode>"$"#,##0_);[Red]\("$"#,##0\)</c:formatCode>
                <c:ptCount val="3"/>
                <c:pt idx="0">
                  <c:v>974727</c:v>
                </c:pt>
                <c:pt idx="1">
                  <c:v>634200</c:v>
                </c:pt>
                <c:pt idx="2">
                  <c:v>1253700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1-47E8-8049-3333085A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610191"/>
        <c:axId val="1290881743"/>
      </c:barChart>
      <c:catAx>
        <c:axId val="15046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81743"/>
        <c:crosses val="autoZero"/>
        <c:auto val="1"/>
        <c:lblAlgn val="ctr"/>
        <c:lblOffset val="100"/>
        <c:noMultiLvlLbl val="0"/>
      </c:catAx>
      <c:valAx>
        <c:axId val="12908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1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[Employee_Compensation_Analysis.xlsx]Pivot_Analysis!PivotTable7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Adjustment Cost by Department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Pivot_Analysis!$B$28</c:f>
              <c:strCache>
                <c:ptCount val="1"/>
                <c:pt idx="0">
                  <c:v>Scenario 2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Pivot_Analysis!$A$29:$A$35</c:f>
              <c:strCache>
                <c:ptCount val="6"/>
                <c:pt idx="0">
                  <c:v>Administration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Operations</c:v>
                </c:pt>
                <c:pt idx="5">
                  <c:v>Policy &amp; Research</c:v>
                </c:pt>
              </c:strCache>
            </c:strRef>
          </c:cat>
          <c:val>
            <c:numRef>
              <c:f>Pivot_Analysis!$B$29:$B$35</c:f>
              <c:numCache>
                <c:formatCode>"$"#,##0</c:formatCode>
                <c:ptCount val="6"/>
                <c:pt idx="0">
                  <c:v>124500</c:v>
                </c:pt>
                <c:pt idx="1">
                  <c:v>116100</c:v>
                </c:pt>
                <c:pt idx="2">
                  <c:v>100100</c:v>
                </c:pt>
                <c:pt idx="3">
                  <c:v>86900</c:v>
                </c:pt>
                <c:pt idx="4">
                  <c:v>106300</c:v>
                </c:pt>
                <c:pt idx="5">
                  <c:v>100300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6-436C-B3DC-E8C234FF67AA}"/>
            </c:ext>
          </c:extLst>
        </c:ser>
        <c:ser>
          <c:idx val="1"/>
          <c:order val="1"/>
          <c:tx>
            <c:strRef>
              <c:f>Pivot_Analysis!$C$28</c:f>
              <c:strCache>
                <c:ptCount val="1"/>
                <c:pt idx="0">
                  <c:v>Scenario 3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Pivot_Analysis!$A$29:$A$35</c:f>
              <c:strCache>
                <c:ptCount val="6"/>
                <c:pt idx="0">
                  <c:v>Administration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Operations</c:v>
                </c:pt>
                <c:pt idx="5">
                  <c:v>Policy &amp; Research</c:v>
                </c:pt>
              </c:strCache>
            </c:strRef>
          </c:cat>
          <c:val>
            <c:numRef>
              <c:f>Pivot_Analysis!$C$29:$C$35</c:f>
              <c:numCache>
                <c:formatCode>"$"#,##0</c:formatCode>
                <c:ptCount val="6"/>
                <c:pt idx="0">
                  <c:v>229000</c:v>
                </c:pt>
                <c:pt idx="1">
                  <c:v>235500</c:v>
                </c:pt>
                <c:pt idx="2">
                  <c:v>185200</c:v>
                </c:pt>
                <c:pt idx="3">
                  <c:v>190800</c:v>
                </c:pt>
                <c:pt idx="4">
                  <c:v>198600</c:v>
                </c:pt>
                <c:pt idx="5">
                  <c:v>214600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6-436C-B3DC-E8C234FF6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946607"/>
        <c:axId val="1290899023"/>
      </c:barChart>
      <c:catAx>
        <c:axId val="644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99023"/>
        <c:crosses val="autoZero"/>
        <c:auto val="1"/>
        <c:lblAlgn val="ctr"/>
        <c:lblOffset val="100"/>
        <c:noMultiLvlLbl val="0"/>
      </c:catAx>
      <c:valAx>
        <c:axId val="129089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4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7620</xdr:rowOff>
    </xdr:from>
    <xdr:to>
      <xdr:col>8</xdr:col>
      <xdr:colOff>19050</xdr:colOff>
      <xdr:row>23</xdr:row>
      <xdr:rowOff>7620</xdr:rowOff>
    </xdr:to>
    <xdr:graphicFrame macro="">
      <xdr:nvGraphicFramePr>
        <xdr:cNvPr id="2" name="Compensation Status Distribution">
          <a:extLst>
            <a:ext uri="{FF2B5EF4-FFF2-40B4-BE49-F238E27FC236}">
              <a16:creationId xmlns:a16="http://schemas.microsoft.com/office/drawing/2014/main" id="{637A41B9-AFF1-4984-AB3B-C4FD6190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600074</xdr:colOff>
      <xdr:row>9</xdr:row>
      <xdr:rowOff>171450</xdr:rowOff>
    </xdr:from>
    <xdr:to>
      <xdr:col>16</xdr:col>
      <xdr:colOff>590549</xdr:colOff>
      <xdr:row>23</xdr:row>
      <xdr:rowOff>5715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A19605-FDCB-4384-9211-B0465C1B0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600074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71DF5D-929E-4AA0-A716-AA67FF272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600075</xdr:colOff>
      <xdr:row>25</xdr:row>
      <xdr:rowOff>9525</xdr:rowOff>
    </xdr:from>
    <xdr:to>
      <xdr:col>16</xdr:col>
      <xdr:colOff>600075</xdr:colOff>
      <xdr:row>38</xdr:row>
      <xdr:rowOff>17145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BC1B01-0785-434C-90F1-7F35D443A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teza allahyar" refreshedDate="46248.842858217591" createdVersion="8" refreshedVersion="8" minRefreshableVersion="3" recordCount="500" xr:uid="{988A8049-0D32-46A1-AB71-5E2DF3414463}">
  <cacheSource type="worksheet">
    <worksheetSource name="employee_data"/>
  </cacheSource>
  <cacheFields count="13">
    <cacheField name="Employee_ID" numFmtId="0">
      <sharedItems/>
    </cacheField>
    <cacheField name="Department" numFmtId="0">
      <sharedItems count="6">
        <s v="Information Technology"/>
        <s v="Human Resources"/>
        <s v="Policy &amp; Research"/>
        <s v="Operations"/>
        <s v="Administration"/>
        <s v="Finance"/>
      </sharedItems>
    </cacheField>
    <cacheField name="Job_Title" numFmtId="0">
      <sharedItems/>
    </cacheField>
    <cacheField name="Job_Level" numFmtId="0">
      <sharedItems/>
    </cacheField>
    <cacheField name="Location" numFmtId="0">
      <sharedItems/>
    </cacheField>
    <cacheField name="Years_Service" numFmtId="0">
      <sharedItems containsSemiMixedTypes="0" containsString="0" containsNumber="1" containsInteger="1" minValue="0" maxValue="20"/>
    </cacheField>
    <cacheField name="Current_Salary" numFmtId="166">
      <sharedItems containsSemiMixedTypes="0" containsString="0" containsNumber="1" containsInteger="1" minValue="33000" maxValue="108800"/>
    </cacheField>
    <cacheField name="Performance_Rating" numFmtId="0">
      <sharedItems containsSemiMixedTypes="0" containsString="0" containsNumber="1" containsInteger="1" minValue="1" maxValue="5"/>
    </cacheField>
    <cacheField name="Market_Median" numFmtId="166">
      <sharedItems containsSemiMixedTypes="0" containsString="0" containsNumber="1" containsInteger="1" minValue="48000" maxValue="98000"/>
    </cacheField>
    <cacheField name="Market_Position" numFmtId="170">
      <sharedItems containsSemiMixedTypes="0" containsString="0" containsNumber="1" minValue="0.68448275862068964" maxValue="1.2694117647058825"/>
    </cacheField>
    <cacheField name="Market_Gap" numFmtId="166">
      <sharedItems containsSemiMixedTypes="0" containsString="0" containsNumber="1" containsInteger="1" minValue="-25500" maxValue="22900"/>
    </cacheField>
    <cacheField name="Market_Gap_Percent" numFmtId="170">
      <sharedItems containsSemiMixedTypes="0" containsString="0" containsNumber="1" minValue="-0.31551724137931036" maxValue="0.26941176470588235"/>
    </cacheField>
    <cacheField name="Compensation_Status" numFmtId="0">
      <sharedItems count="4">
        <s v="Significantly Below Market"/>
        <s v="Around Market"/>
        <s v="Below Market"/>
        <s v="Above Mark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teza allahyar" refreshedDate="46248.913982407408" createdVersion="8" refreshedVersion="8" minRefreshableVersion="3" recordCount="500" xr:uid="{E3E94E78-54B4-4B00-B75C-D5072CF32A5E}">
  <cacheSource type="worksheet">
    <worksheetSource ref="A1:N501" sheet="Pay_Adjustment"/>
  </cacheSource>
  <cacheFields count="14">
    <cacheField name="Employee_ID" numFmtId="0">
      <sharedItems/>
    </cacheField>
    <cacheField name="Department" numFmtId="0">
      <sharedItems count="6">
        <s v="Information Technology"/>
        <s v="Human Resources"/>
        <s v="Policy &amp; Research"/>
        <s v="Operations"/>
        <s v="Administration"/>
        <s v="Finance"/>
      </sharedItems>
    </cacheField>
    <cacheField name="Job_Title" numFmtId="0">
      <sharedItems/>
    </cacheField>
    <cacheField name="Current_Salary" numFmtId="166">
      <sharedItems containsSemiMixedTypes="0" containsString="0" containsNumber="1" containsInteger="1" minValue="33000" maxValue="108800"/>
    </cacheField>
    <cacheField name="Market_Median" numFmtId="166">
      <sharedItems containsSemiMixedTypes="0" containsString="0" containsNumber="1" containsInteger="1" minValue="48000" maxValue="98000"/>
    </cacheField>
    <cacheField name="Market_Position" numFmtId="170">
      <sharedItems containsSemiMixedTypes="0" containsString="0" containsNumber="1" minValue="0.68448275862068964" maxValue="1.2694117647058825"/>
    </cacheField>
    <cacheField name="Scenario_1_Adjustment" numFmtId="166">
      <sharedItems containsSemiMixedTypes="0" containsString="0" containsNumber="1" containsInteger="1" minValue="990" maxValue="3264"/>
    </cacheField>
    <cacheField name="Scenario_1_New_Salary" numFmtId="166">
      <sharedItems containsSemiMixedTypes="0" containsString="0" containsNumber="1" containsInteger="1" minValue="33990" maxValue="112064"/>
    </cacheField>
    <cacheField name="Scenario_2_Adjustment" numFmtId="0">
      <sharedItems containsSemiMixedTypes="0" containsString="0" containsNumber="1" containsInteger="1" minValue="0" maxValue="17000"/>
    </cacheField>
    <cacheField name="Scenario_2_New_Salary" numFmtId="166">
      <sharedItems containsSemiMixedTypes="0" containsString="0" containsNumber="1" containsInteger="1" minValue="43200" maxValue="108800"/>
    </cacheField>
    <cacheField name="Scenario_3_Adjustment" numFmtId="0">
      <sharedItems containsSemiMixedTypes="0" containsString="0" containsNumber="1" containsInteger="1" minValue="0" maxValue="21250"/>
    </cacheField>
    <cacheField name="Scenario_3_New_Salary" numFmtId="166">
      <sharedItems containsSemiMixedTypes="0" containsString="0" containsNumber="1" containsInteger="1" minValue="45600" maxValue="108800"/>
    </cacheField>
    <cacheField name="Scenario_2_Affected" numFmtId="0">
      <sharedItems containsSemiMixedTypes="0" containsString="0" containsNumber="1" containsInteger="1" minValue="0" maxValue="1"/>
    </cacheField>
    <cacheField name="Scenario_3_Affec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0001"/>
    <x v="0"/>
    <s v="IT Support Analyst"/>
    <s v="L1"/>
    <s v="Halifax"/>
    <n v="14"/>
    <n v="48700"/>
    <n v="4"/>
    <n v="58000"/>
    <n v="0.83965517241379306"/>
    <n v="-9300"/>
    <n v="-0.16034482758620688"/>
    <x v="0"/>
  </r>
  <r>
    <s v="E0002"/>
    <x v="1"/>
    <s v="HR Advisor"/>
    <s v="L3"/>
    <s v="Halifax"/>
    <n v="10"/>
    <n v="80500"/>
    <n v="3"/>
    <n v="82000"/>
    <n v="0.98170731707317072"/>
    <n v="-1500"/>
    <n v="-1.8292682926829267E-2"/>
    <x v="1"/>
  </r>
  <r>
    <s v="E0003"/>
    <x v="2"/>
    <s v="Senior Policy Analyst"/>
    <s v="L3"/>
    <s v="Halifax"/>
    <n v="20"/>
    <n v="81300"/>
    <n v="5"/>
    <n v="90000"/>
    <n v="0.90333333333333332"/>
    <n v="-8700"/>
    <n v="-9.6666666666666665E-2"/>
    <x v="2"/>
  </r>
  <r>
    <s v="E0004"/>
    <x v="0"/>
    <s v="IT Support Analyst"/>
    <s v="L1"/>
    <s v="Halifax"/>
    <n v="0"/>
    <n v="58200"/>
    <n v="3"/>
    <n v="58000"/>
    <n v="1.0034482758620689"/>
    <n v="200"/>
    <n v="3.4482758620689655E-3"/>
    <x v="1"/>
  </r>
  <r>
    <s v="E0005"/>
    <x v="3"/>
    <s v="Operations Assistant"/>
    <s v="L1"/>
    <s v="Halifax"/>
    <n v="11"/>
    <n v="35300"/>
    <n v="1"/>
    <n v="50000"/>
    <n v="0.70599999999999996"/>
    <n v="-14700"/>
    <n v="-0.29399999999999998"/>
    <x v="0"/>
  </r>
  <r>
    <s v="E0006"/>
    <x v="0"/>
    <s v="Senior Systems Analyst"/>
    <s v="L3"/>
    <s v="Halifax"/>
    <n v="14"/>
    <n v="99000"/>
    <n v="3"/>
    <n v="98000"/>
    <n v="1.010204081632653"/>
    <n v="1000"/>
    <n v="1.020408163265306E-2"/>
    <x v="1"/>
  </r>
  <r>
    <s v="E0007"/>
    <x v="0"/>
    <s v="Senior Systems Analyst"/>
    <s v="L3"/>
    <s v="Halifax"/>
    <n v="19"/>
    <n v="94300"/>
    <n v="3"/>
    <n v="98000"/>
    <n v="0.96224489795918366"/>
    <n v="-3700"/>
    <n v="-3.7755102040816328E-2"/>
    <x v="1"/>
  </r>
  <r>
    <s v="E0008"/>
    <x v="2"/>
    <s v="Research Assistant"/>
    <s v="L1"/>
    <s v="Halifax"/>
    <n v="6"/>
    <n v="46700"/>
    <n v="1"/>
    <n v="52000"/>
    <n v="0.89807692307692311"/>
    <n v="-5300"/>
    <n v="-0.10192307692307692"/>
    <x v="2"/>
  </r>
  <r>
    <s v="E0009"/>
    <x v="4"/>
    <s v="Administrative Coordinator"/>
    <s v="L2"/>
    <s v="Halifax"/>
    <n v="17"/>
    <n v="59600"/>
    <n v="3"/>
    <n v="58000"/>
    <n v="1.0275862068965518"/>
    <n v="1600"/>
    <n v="2.7586206896551724E-2"/>
    <x v="1"/>
  </r>
  <r>
    <s v="E0010"/>
    <x v="0"/>
    <s v="IT Support Analyst"/>
    <s v="L1"/>
    <s v="Halifax"/>
    <n v="7"/>
    <n v="48700"/>
    <n v="1"/>
    <n v="58000"/>
    <n v="0.83965517241379306"/>
    <n v="-9300"/>
    <n v="-0.16034482758620688"/>
    <x v="0"/>
  </r>
  <r>
    <s v="E0011"/>
    <x v="3"/>
    <s v="Operations Assistant"/>
    <s v="L1"/>
    <s v="Halifax"/>
    <n v="3"/>
    <n v="45300"/>
    <n v="3"/>
    <n v="50000"/>
    <n v="0.90600000000000003"/>
    <n v="-4700"/>
    <n v="-9.4E-2"/>
    <x v="2"/>
  </r>
  <r>
    <s v="E0012"/>
    <x v="3"/>
    <s v="Operations Analyst"/>
    <s v="L2"/>
    <s v="Halifax"/>
    <n v="3"/>
    <n v="75000"/>
    <n v="3"/>
    <n v="68000"/>
    <n v="1.1029411764705883"/>
    <n v="7000"/>
    <n v="0.10294117647058823"/>
    <x v="3"/>
  </r>
  <r>
    <s v="E0013"/>
    <x v="5"/>
    <s v="Financial Analyst"/>
    <s v="L2"/>
    <s v="Halifax"/>
    <n v="11"/>
    <n v="68000"/>
    <n v="5"/>
    <n v="70000"/>
    <n v="0.97142857142857142"/>
    <n v="-2000"/>
    <n v="-2.8571428571428571E-2"/>
    <x v="1"/>
  </r>
  <r>
    <s v="E0014"/>
    <x v="3"/>
    <s v="Operations Manager"/>
    <s v="L3"/>
    <s v="Halifax"/>
    <n v="7"/>
    <n v="88200"/>
    <n v="4"/>
    <n v="85000"/>
    <n v="1.0376470588235294"/>
    <n v="3200"/>
    <n v="3.7647058823529408E-2"/>
    <x v="1"/>
  </r>
  <r>
    <s v="E0015"/>
    <x v="2"/>
    <s v="Policy Analyst"/>
    <s v="L2"/>
    <s v="Halifax"/>
    <n v="14"/>
    <n v="58700"/>
    <n v="4"/>
    <n v="72000"/>
    <n v="0.81527777777777777"/>
    <n v="-13300"/>
    <n v="-0.18472222222222223"/>
    <x v="0"/>
  </r>
  <r>
    <s v="E0016"/>
    <x v="0"/>
    <s v="IT Support Analyst"/>
    <s v="L1"/>
    <s v="Halifax"/>
    <n v="8"/>
    <n v="50000"/>
    <n v="3"/>
    <n v="58000"/>
    <n v="0.86206896551724133"/>
    <n v="-8000"/>
    <n v="-0.13793103448275862"/>
    <x v="2"/>
  </r>
  <r>
    <s v="E0017"/>
    <x v="2"/>
    <s v="Research Assistant"/>
    <s v="L1"/>
    <s v="Halifax"/>
    <n v="6"/>
    <n v="41300"/>
    <n v="3"/>
    <n v="52000"/>
    <n v="0.79423076923076918"/>
    <n v="-10700"/>
    <n v="-0.20576923076923076"/>
    <x v="0"/>
  </r>
  <r>
    <s v="E0018"/>
    <x v="1"/>
    <s v="HR Advisor"/>
    <s v="L3"/>
    <s v="Halifax"/>
    <n v="16"/>
    <n v="71400"/>
    <n v="4"/>
    <n v="82000"/>
    <n v="0.87073170731707317"/>
    <n v="-10600"/>
    <n v="-0.12926829268292683"/>
    <x v="2"/>
  </r>
  <r>
    <s v="E0019"/>
    <x v="1"/>
    <s v="HR Assistant"/>
    <s v="L1"/>
    <s v="Halifax"/>
    <n v="4"/>
    <n v="50800"/>
    <n v="5"/>
    <n v="50000"/>
    <n v="1.016"/>
    <n v="800"/>
    <n v="1.6E-2"/>
    <x v="1"/>
  </r>
  <r>
    <s v="E0020"/>
    <x v="4"/>
    <s v="Administrative Coordinator"/>
    <s v="L2"/>
    <s v="Halifax"/>
    <n v="0"/>
    <n v="56500"/>
    <n v="2"/>
    <n v="58000"/>
    <n v="0.97413793103448276"/>
    <n v="-1500"/>
    <n v="-2.5862068965517241E-2"/>
    <x v="1"/>
  </r>
  <r>
    <s v="E0021"/>
    <x v="3"/>
    <s v="Operations Assistant"/>
    <s v="L1"/>
    <s v="Halifax"/>
    <n v="2"/>
    <n v="49800"/>
    <n v="3"/>
    <n v="50000"/>
    <n v="0.996"/>
    <n v="-200"/>
    <n v="-4.0000000000000001E-3"/>
    <x v="1"/>
  </r>
  <r>
    <s v="E0022"/>
    <x v="1"/>
    <s v="HR Assistant"/>
    <s v="L1"/>
    <s v="Halifax"/>
    <n v="14"/>
    <n v="39100"/>
    <n v="4"/>
    <n v="50000"/>
    <n v="0.78200000000000003"/>
    <n v="-10900"/>
    <n v="-0.218"/>
    <x v="0"/>
  </r>
  <r>
    <s v="E0023"/>
    <x v="4"/>
    <s v="Administrative Assistant"/>
    <s v="L1"/>
    <s v="Halifax"/>
    <n v="13"/>
    <n v="33000"/>
    <n v="3"/>
    <n v="48000"/>
    <n v="0.6875"/>
    <n v="-15000"/>
    <n v="-0.3125"/>
    <x v="0"/>
  </r>
  <r>
    <s v="E0024"/>
    <x v="5"/>
    <s v="Finance Assistant"/>
    <s v="L1"/>
    <s v="Halifax"/>
    <n v="18"/>
    <n v="53700"/>
    <n v="1"/>
    <n v="52000"/>
    <n v="1.0326923076923078"/>
    <n v="1700"/>
    <n v="3.2692307692307694E-2"/>
    <x v="1"/>
  </r>
  <r>
    <s v="E0025"/>
    <x v="4"/>
    <s v="Administrative Assistant"/>
    <s v="L1"/>
    <s v="Halifax"/>
    <n v="3"/>
    <n v="43000"/>
    <n v="5"/>
    <n v="48000"/>
    <n v="0.89583333333333337"/>
    <n v="-5000"/>
    <n v="-0.10416666666666667"/>
    <x v="2"/>
  </r>
  <r>
    <s v="E0026"/>
    <x v="1"/>
    <s v="HR Assistant"/>
    <s v="L1"/>
    <s v="Halifax"/>
    <n v="3"/>
    <n v="40000"/>
    <n v="5"/>
    <n v="50000"/>
    <n v="0.8"/>
    <n v="-10000"/>
    <n v="-0.2"/>
    <x v="0"/>
  </r>
  <r>
    <s v="E0027"/>
    <x v="1"/>
    <s v="HR Advisor"/>
    <s v="L3"/>
    <s v="Halifax"/>
    <n v="1"/>
    <n v="72900"/>
    <n v="3"/>
    <n v="82000"/>
    <n v="0.88902439024390245"/>
    <n v="-9100"/>
    <n v="-0.11097560975609756"/>
    <x v="2"/>
  </r>
  <r>
    <s v="E0028"/>
    <x v="0"/>
    <s v="Systems Analyst"/>
    <s v="L2"/>
    <s v="Halifax"/>
    <n v="10"/>
    <n v="71600"/>
    <n v="3"/>
    <n v="78000"/>
    <n v="0.91794871794871791"/>
    <n v="-6400"/>
    <n v="-8.2051282051282051E-2"/>
    <x v="2"/>
  </r>
  <r>
    <s v="E0029"/>
    <x v="0"/>
    <s v="IT Support Analyst"/>
    <s v="L1"/>
    <s v="Halifax"/>
    <n v="6"/>
    <n v="60000"/>
    <n v="5"/>
    <n v="58000"/>
    <n v="1.0344827586206897"/>
    <n v="2000"/>
    <n v="3.4482758620689655E-2"/>
    <x v="1"/>
  </r>
  <r>
    <s v="E0030"/>
    <x v="4"/>
    <s v="Administrative Assistant"/>
    <s v="L1"/>
    <s v="Halifax"/>
    <n v="8"/>
    <n v="39300"/>
    <n v="3"/>
    <n v="48000"/>
    <n v="0.81874999999999998"/>
    <n v="-8700"/>
    <n v="-0.18124999999999999"/>
    <x v="0"/>
  </r>
  <r>
    <s v="E0031"/>
    <x v="3"/>
    <s v="Operations Manager"/>
    <s v="L3"/>
    <s v="Halifax"/>
    <n v="8"/>
    <n v="71400"/>
    <n v="3"/>
    <n v="85000"/>
    <n v="0.84"/>
    <n v="-13600"/>
    <n v="-0.16"/>
    <x v="0"/>
  </r>
  <r>
    <s v="E0032"/>
    <x v="1"/>
    <s v="HR Analyst"/>
    <s v="L2"/>
    <s v="Halifax"/>
    <n v="8"/>
    <n v="70800"/>
    <n v="3"/>
    <n v="68000"/>
    <n v="1.0411764705882354"/>
    <n v="2800"/>
    <n v="4.1176470588235294E-2"/>
    <x v="1"/>
  </r>
  <r>
    <s v="E0033"/>
    <x v="3"/>
    <s v="Operations Assistant"/>
    <s v="L1"/>
    <s v="Halifax"/>
    <n v="19"/>
    <n v="52900"/>
    <n v="3"/>
    <n v="50000"/>
    <n v="1.0580000000000001"/>
    <n v="2900"/>
    <n v="5.8000000000000003E-2"/>
    <x v="3"/>
  </r>
  <r>
    <s v="E0034"/>
    <x v="2"/>
    <s v="Research Assistant"/>
    <s v="L1"/>
    <s v="Halifax"/>
    <n v="16"/>
    <n v="54600"/>
    <n v="3"/>
    <n v="52000"/>
    <n v="1.05"/>
    <n v="2600"/>
    <n v="0.05"/>
    <x v="1"/>
  </r>
  <r>
    <s v="E0035"/>
    <x v="5"/>
    <s v="Financial Analyst"/>
    <s v="L2"/>
    <s v="Halifax"/>
    <n v="4"/>
    <n v="76500"/>
    <n v="3"/>
    <n v="70000"/>
    <n v="1.0928571428571427"/>
    <n v="6500"/>
    <n v="9.285714285714286E-2"/>
    <x v="3"/>
  </r>
  <r>
    <s v="E0036"/>
    <x v="2"/>
    <s v="Policy Analyst"/>
    <s v="L2"/>
    <s v="Halifax"/>
    <n v="5"/>
    <n v="76100"/>
    <n v="3"/>
    <n v="72000"/>
    <n v="1.0569444444444445"/>
    <n v="4100"/>
    <n v="5.6944444444444443E-2"/>
    <x v="3"/>
  </r>
  <r>
    <s v="E0037"/>
    <x v="0"/>
    <s v="Senior Systems Analyst"/>
    <s v="L3"/>
    <s v="Halifax"/>
    <n v="10"/>
    <n v="100200"/>
    <n v="3"/>
    <n v="98000"/>
    <n v="1.0224489795918368"/>
    <n v="2200"/>
    <n v="2.2448979591836733E-2"/>
    <x v="1"/>
  </r>
  <r>
    <s v="E0038"/>
    <x v="2"/>
    <s v="Policy Analyst"/>
    <s v="L2"/>
    <s v="Halifax"/>
    <n v="5"/>
    <n v="63900"/>
    <n v="3"/>
    <n v="72000"/>
    <n v="0.88749999999999996"/>
    <n v="-8100"/>
    <n v="-0.1125"/>
    <x v="2"/>
  </r>
  <r>
    <s v="E0039"/>
    <x v="4"/>
    <s v="Administrative Assistant"/>
    <s v="L1"/>
    <s v="Halifax"/>
    <n v="5"/>
    <n v="43600"/>
    <n v="4"/>
    <n v="48000"/>
    <n v="0.90833333333333333"/>
    <n v="-4400"/>
    <n v="-9.166666666666666E-2"/>
    <x v="2"/>
  </r>
  <r>
    <s v="E0040"/>
    <x v="0"/>
    <s v="Senior Systems Analyst"/>
    <s v="L3"/>
    <s v="Halifax"/>
    <n v="2"/>
    <n v="101500"/>
    <n v="4"/>
    <n v="98000"/>
    <n v="1.0357142857142858"/>
    <n v="3500"/>
    <n v="3.5714285714285712E-2"/>
    <x v="1"/>
  </r>
  <r>
    <s v="E0041"/>
    <x v="0"/>
    <s v="Senior Systems Analyst"/>
    <s v="L3"/>
    <s v="Halifax"/>
    <n v="19"/>
    <n v="97300"/>
    <n v="5"/>
    <n v="98000"/>
    <n v="0.99285714285714288"/>
    <n v="-700"/>
    <n v="-7.1428571428571426E-3"/>
    <x v="1"/>
  </r>
  <r>
    <s v="E0042"/>
    <x v="4"/>
    <s v="Office Manager"/>
    <s v="L3"/>
    <s v="Halifax"/>
    <n v="17"/>
    <n v="50600"/>
    <n v="5"/>
    <n v="72000"/>
    <n v="0.70277777777777772"/>
    <n v="-21400"/>
    <n v="-0.29722222222222222"/>
    <x v="0"/>
  </r>
  <r>
    <s v="E0043"/>
    <x v="3"/>
    <s v="Operations Analyst"/>
    <s v="L2"/>
    <s v="Halifax"/>
    <n v="2"/>
    <n v="53000"/>
    <n v="3"/>
    <n v="68000"/>
    <n v="0.77941176470588236"/>
    <n v="-15000"/>
    <n v="-0.22058823529411764"/>
    <x v="0"/>
  </r>
  <r>
    <s v="E0044"/>
    <x v="4"/>
    <s v="Administrative Coordinator"/>
    <s v="L2"/>
    <s v="Halifax"/>
    <n v="11"/>
    <n v="55800"/>
    <n v="3"/>
    <n v="58000"/>
    <n v="0.96206896551724141"/>
    <n v="-2200"/>
    <n v="-3.793103448275862E-2"/>
    <x v="1"/>
  </r>
  <r>
    <s v="E0045"/>
    <x v="1"/>
    <s v="HR Advisor"/>
    <s v="L3"/>
    <s v="Halifax"/>
    <n v="8"/>
    <n v="84600"/>
    <n v="3"/>
    <n v="82000"/>
    <n v="1.0317073170731708"/>
    <n v="2600"/>
    <n v="3.1707317073170732E-2"/>
    <x v="1"/>
  </r>
  <r>
    <s v="E0046"/>
    <x v="0"/>
    <s v="Systems Analyst"/>
    <s v="L2"/>
    <s v="Halifax"/>
    <n v="0"/>
    <n v="77800"/>
    <n v="3"/>
    <n v="78000"/>
    <n v="0.99743589743589745"/>
    <n v="-200"/>
    <n v="-2.5641025641025641E-3"/>
    <x v="1"/>
  </r>
  <r>
    <s v="E0047"/>
    <x v="1"/>
    <s v="HR Assistant"/>
    <s v="L1"/>
    <s v="Halifax"/>
    <n v="7"/>
    <n v="51800"/>
    <n v="4"/>
    <n v="50000"/>
    <n v="1.036"/>
    <n v="1800"/>
    <n v="3.5999999999999997E-2"/>
    <x v="1"/>
  </r>
  <r>
    <s v="E0048"/>
    <x v="3"/>
    <s v="Operations Assistant"/>
    <s v="L1"/>
    <s v="Halifax"/>
    <n v="2"/>
    <n v="56400"/>
    <n v="5"/>
    <n v="50000"/>
    <n v="1.1279999999999999"/>
    <n v="6400"/>
    <n v="0.128"/>
    <x v="3"/>
  </r>
  <r>
    <s v="E0049"/>
    <x v="5"/>
    <s v="Financial Analyst"/>
    <s v="L2"/>
    <s v="Halifax"/>
    <n v="17"/>
    <n v="67600"/>
    <n v="3"/>
    <n v="70000"/>
    <n v="0.96571428571428575"/>
    <n v="-2400"/>
    <n v="-3.4285714285714287E-2"/>
    <x v="1"/>
  </r>
  <r>
    <s v="E0050"/>
    <x v="0"/>
    <s v="IT Support Analyst"/>
    <s v="L1"/>
    <s v="Halifax"/>
    <n v="3"/>
    <n v="55000"/>
    <n v="3"/>
    <n v="58000"/>
    <n v="0.94827586206896552"/>
    <n v="-3000"/>
    <n v="-5.1724137931034482E-2"/>
    <x v="2"/>
  </r>
  <r>
    <s v="E0051"/>
    <x v="2"/>
    <s v="Senior Policy Analyst"/>
    <s v="L3"/>
    <s v="Halifax"/>
    <n v="2"/>
    <n v="77700"/>
    <n v="4"/>
    <n v="90000"/>
    <n v="0.86333333333333329"/>
    <n v="-12300"/>
    <n v="-0.13666666666666666"/>
    <x v="2"/>
  </r>
  <r>
    <s v="E0052"/>
    <x v="1"/>
    <s v="HR Analyst"/>
    <s v="L2"/>
    <s v="Halifax"/>
    <n v="13"/>
    <n v="65600"/>
    <n v="3"/>
    <n v="68000"/>
    <n v="0.96470588235294119"/>
    <n v="-2400"/>
    <n v="-3.5294117647058823E-2"/>
    <x v="1"/>
  </r>
  <r>
    <s v="E0053"/>
    <x v="3"/>
    <s v="Operations Assistant"/>
    <s v="L1"/>
    <s v="Halifax"/>
    <n v="18"/>
    <n v="53500"/>
    <n v="4"/>
    <n v="50000"/>
    <n v="1.07"/>
    <n v="3500"/>
    <n v="7.0000000000000007E-2"/>
    <x v="3"/>
  </r>
  <r>
    <s v="E0054"/>
    <x v="3"/>
    <s v="Operations Assistant"/>
    <s v="L1"/>
    <s v="Halifax"/>
    <n v="14"/>
    <n v="50200"/>
    <n v="3"/>
    <n v="50000"/>
    <n v="1.004"/>
    <n v="200"/>
    <n v="4.0000000000000001E-3"/>
    <x v="1"/>
  </r>
  <r>
    <s v="E0055"/>
    <x v="2"/>
    <s v="Research Assistant"/>
    <s v="L1"/>
    <s v="Halifax"/>
    <n v="15"/>
    <n v="49600"/>
    <n v="3"/>
    <n v="52000"/>
    <n v="0.9538461538461539"/>
    <n v="-2400"/>
    <n v="-4.6153846153846156E-2"/>
    <x v="1"/>
  </r>
  <r>
    <s v="E0056"/>
    <x v="4"/>
    <s v="Administrative Coordinator"/>
    <s v="L2"/>
    <s v="Halifax"/>
    <n v="13"/>
    <n v="54300"/>
    <n v="5"/>
    <n v="58000"/>
    <n v="0.93620689655172418"/>
    <n v="-3700"/>
    <n v="-6.3793103448275865E-2"/>
    <x v="2"/>
  </r>
  <r>
    <s v="E0057"/>
    <x v="1"/>
    <s v="HR Assistant"/>
    <s v="L1"/>
    <s v="Halifax"/>
    <n v="4"/>
    <n v="49900"/>
    <n v="5"/>
    <n v="50000"/>
    <n v="0.998"/>
    <n v="-100"/>
    <n v="-2E-3"/>
    <x v="1"/>
  </r>
  <r>
    <s v="E0058"/>
    <x v="1"/>
    <s v="HR Assistant"/>
    <s v="L1"/>
    <s v="Halifax"/>
    <n v="19"/>
    <n v="47100"/>
    <n v="3"/>
    <n v="50000"/>
    <n v="0.94199999999999995"/>
    <n v="-2900"/>
    <n v="-5.8000000000000003E-2"/>
    <x v="2"/>
  </r>
  <r>
    <s v="E0059"/>
    <x v="2"/>
    <s v="Senior Policy Analyst"/>
    <s v="L3"/>
    <s v="Halifax"/>
    <n v="0"/>
    <n v="87400"/>
    <n v="3"/>
    <n v="90000"/>
    <n v="0.97111111111111115"/>
    <n v="-2600"/>
    <n v="-2.8888888888888888E-2"/>
    <x v="1"/>
  </r>
  <r>
    <s v="E0060"/>
    <x v="3"/>
    <s v="Operations Analyst"/>
    <s v="L2"/>
    <s v="Halifax"/>
    <n v="2"/>
    <n v="56100"/>
    <n v="3"/>
    <n v="68000"/>
    <n v="0.82499999999999996"/>
    <n v="-11900"/>
    <n v="-0.17499999999999999"/>
    <x v="0"/>
  </r>
  <r>
    <s v="E0061"/>
    <x v="5"/>
    <s v="Senior Financial Analyst"/>
    <s v="L3"/>
    <s v="Halifax"/>
    <n v="1"/>
    <n v="74600"/>
    <n v="3"/>
    <n v="88000"/>
    <n v="0.84772727272727277"/>
    <n v="-13400"/>
    <n v="-0.15227272727272728"/>
    <x v="0"/>
  </r>
  <r>
    <s v="E0062"/>
    <x v="4"/>
    <s v="Administrative Assistant"/>
    <s v="L1"/>
    <s v="Halifax"/>
    <n v="10"/>
    <n v="39900"/>
    <n v="4"/>
    <n v="48000"/>
    <n v="0.83125000000000004"/>
    <n v="-8100"/>
    <n v="-0.16875000000000001"/>
    <x v="0"/>
  </r>
  <r>
    <s v="E0063"/>
    <x v="2"/>
    <s v="Policy Analyst"/>
    <s v="L2"/>
    <s v="Halifax"/>
    <n v="2"/>
    <n v="63100"/>
    <n v="3"/>
    <n v="72000"/>
    <n v="0.87638888888888888"/>
    <n v="-8900"/>
    <n v="-0.12361111111111112"/>
    <x v="2"/>
  </r>
  <r>
    <s v="E0064"/>
    <x v="4"/>
    <s v="Administrative Assistant"/>
    <s v="L1"/>
    <s v="Halifax"/>
    <n v="19"/>
    <n v="46500"/>
    <n v="3"/>
    <n v="48000"/>
    <n v="0.96875"/>
    <n v="-1500"/>
    <n v="-3.125E-2"/>
    <x v="1"/>
  </r>
  <r>
    <s v="E0065"/>
    <x v="3"/>
    <s v="Operations Analyst"/>
    <s v="L2"/>
    <s v="Halifax"/>
    <n v="11"/>
    <n v="65100"/>
    <n v="4"/>
    <n v="68000"/>
    <n v="0.95735294117647063"/>
    <n v="-2900"/>
    <n v="-4.2647058823529413E-2"/>
    <x v="1"/>
  </r>
  <r>
    <s v="E0066"/>
    <x v="3"/>
    <s v="Operations Manager"/>
    <s v="L3"/>
    <s v="Halifax"/>
    <n v="16"/>
    <n v="77300"/>
    <n v="1"/>
    <n v="85000"/>
    <n v="0.90941176470588236"/>
    <n v="-7700"/>
    <n v="-9.058823529411765E-2"/>
    <x v="2"/>
  </r>
  <r>
    <s v="E0067"/>
    <x v="3"/>
    <s v="Operations Manager"/>
    <s v="L3"/>
    <s v="Halifax"/>
    <n v="10"/>
    <n v="94000"/>
    <n v="2"/>
    <n v="85000"/>
    <n v="1.1058823529411765"/>
    <n v="9000"/>
    <n v="0.10588235294117647"/>
    <x v="3"/>
  </r>
  <r>
    <s v="E0068"/>
    <x v="0"/>
    <s v="IT Support Analyst"/>
    <s v="L1"/>
    <s v="Halifax"/>
    <n v="6"/>
    <n v="55800"/>
    <n v="2"/>
    <n v="58000"/>
    <n v="0.96206896551724141"/>
    <n v="-2200"/>
    <n v="-3.793103448275862E-2"/>
    <x v="1"/>
  </r>
  <r>
    <s v="E0069"/>
    <x v="2"/>
    <s v="Policy Analyst"/>
    <s v="L2"/>
    <s v="Halifax"/>
    <n v="14"/>
    <n v="67600"/>
    <n v="4"/>
    <n v="72000"/>
    <n v="0.93888888888888888"/>
    <n v="-4400"/>
    <n v="-6.1111111111111109E-2"/>
    <x v="2"/>
  </r>
  <r>
    <s v="E0070"/>
    <x v="1"/>
    <s v="HR Analyst"/>
    <s v="L2"/>
    <s v="Halifax"/>
    <n v="4"/>
    <n v="61300"/>
    <n v="3"/>
    <n v="68000"/>
    <n v="0.90147058823529413"/>
    <n v="-6700"/>
    <n v="-9.8529411764705879E-2"/>
    <x v="2"/>
  </r>
  <r>
    <s v="E0071"/>
    <x v="3"/>
    <s v="Operations Manager"/>
    <s v="L3"/>
    <s v="Halifax"/>
    <n v="8"/>
    <n v="67600"/>
    <n v="4"/>
    <n v="85000"/>
    <n v="0.79529411764705882"/>
    <n v="-17400"/>
    <n v="-0.20470588235294118"/>
    <x v="0"/>
  </r>
  <r>
    <s v="E0072"/>
    <x v="3"/>
    <s v="Operations Assistant"/>
    <s v="L1"/>
    <s v="Halifax"/>
    <n v="7"/>
    <n v="45800"/>
    <n v="5"/>
    <n v="50000"/>
    <n v="0.91600000000000004"/>
    <n v="-4200"/>
    <n v="-8.4000000000000005E-2"/>
    <x v="2"/>
  </r>
  <r>
    <s v="E0073"/>
    <x v="4"/>
    <s v="Administrative Assistant"/>
    <s v="L1"/>
    <s v="Halifax"/>
    <n v="6"/>
    <n v="53500"/>
    <n v="4"/>
    <n v="48000"/>
    <n v="1.1145833333333333"/>
    <n v="5500"/>
    <n v="0.11458333333333333"/>
    <x v="3"/>
  </r>
  <r>
    <s v="E0074"/>
    <x v="1"/>
    <s v="HR Analyst"/>
    <s v="L2"/>
    <s v="Halifax"/>
    <n v="15"/>
    <n v="61500"/>
    <n v="3"/>
    <n v="68000"/>
    <n v="0.90441176470588236"/>
    <n v="-6500"/>
    <n v="-9.5588235294117641E-2"/>
    <x v="2"/>
  </r>
  <r>
    <s v="E0075"/>
    <x v="3"/>
    <s v="Operations Assistant"/>
    <s v="L1"/>
    <s v="Halifax"/>
    <n v="13"/>
    <n v="46100"/>
    <n v="2"/>
    <n v="50000"/>
    <n v="0.92200000000000004"/>
    <n v="-3900"/>
    <n v="-7.8E-2"/>
    <x v="2"/>
  </r>
  <r>
    <s v="E0076"/>
    <x v="3"/>
    <s v="Operations Assistant"/>
    <s v="L1"/>
    <s v="Halifax"/>
    <n v="11"/>
    <n v="44500"/>
    <n v="1"/>
    <n v="50000"/>
    <n v="0.89"/>
    <n v="-5500"/>
    <n v="-0.11"/>
    <x v="2"/>
  </r>
  <r>
    <s v="E0077"/>
    <x v="5"/>
    <s v="Finance Assistant"/>
    <s v="L1"/>
    <s v="Halifax"/>
    <n v="6"/>
    <n v="60400"/>
    <n v="3"/>
    <n v="52000"/>
    <n v="1.1615384615384616"/>
    <n v="8400"/>
    <n v="0.16153846153846155"/>
    <x v="3"/>
  </r>
  <r>
    <s v="E0078"/>
    <x v="5"/>
    <s v="Financial Analyst"/>
    <s v="L2"/>
    <s v="Halifax"/>
    <n v="4"/>
    <n v="63000"/>
    <n v="4"/>
    <n v="70000"/>
    <n v="0.9"/>
    <n v="-7000"/>
    <n v="-0.1"/>
    <x v="2"/>
  </r>
  <r>
    <s v="E0079"/>
    <x v="0"/>
    <s v="Senior Systems Analyst"/>
    <s v="L3"/>
    <s v="Halifax"/>
    <n v="9"/>
    <n v="104500"/>
    <n v="3"/>
    <n v="98000"/>
    <n v="1.0663265306122449"/>
    <n v="6500"/>
    <n v="6.6326530612244902E-2"/>
    <x v="3"/>
  </r>
  <r>
    <s v="E0080"/>
    <x v="2"/>
    <s v="Research Assistant"/>
    <s v="L1"/>
    <s v="Halifax"/>
    <n v="3"/>
    <n v="49500"/>
    <n v="3"/>
    <n v="52000"/>
    <n v="0.95192307692307687"/>
    <n v="-2500"/>
    <n v="-4.807692307692308E-2"/>
    <x v="1"/>
  </r>
  <r>
    <s v="E0081"/>
    <x v="5"/>
    <s v="Finance Assistant"/>
    <s v="L1"/>
    <s v="Halifax"/>
    <n v="19"/>
    <n v="57600"/>
    <n v="3"/>
    <n v="52000"/>
    <n v="1.1076923076923078"/>
    <n v="5600"/>
    <n v="0.1076923076923077"/>
    <x v="3"/>
  </r>
  <r>
    <s v="E0082"/>
    <x v="4"/>
    <s v="Administrative Assistant"/>
    <s v="L1"/>
    <s v="Halifax"/>
    <n v="18"/>
    <n v="39700"/>
    <n v="4"/>
    <n v="48000"/>
    <n v="0.82708333333333328"/>
    <n v="-8300"/>
    <n v="-0.17291666666666666"/>
    <x v="0"/>
  </r>
  <r>
    <s v="E0083"/>
    <x v="0"/>
    <s v="Senior Systems Analyst"/>
    <s v="L3"/>
    <s v="Halifax"/>
    <n v="0"/>
    <n v="88300"/>
    <n v="5"/>
    <n v="98000"/>
    <n v="0.90102040816326534"/>
    <n v="-9700"/>
    <n v="-9.8979591836734687E-2"/>
    <x v="2"/>
  </r>
  <r>
    <s v="E0084"/>
    <x v="2"/>
    <s v="Policy Analyst"/>
    <s v="L2"/>
    <s v="Halifax"/>
    <n v="9"/>
    <n v="69900"/>
    <n v="1"/>
    <n v="72000"/>
    <n v="0.97083333333333333"/>
    <n v="-2100"/>
    <n v="-2.9166666666666667E-2"/>
    <x v="1"/>
  </r>
  <r>
    <s v="E0085"/>
    <x v="5"/>
    <s v="Senior Financial Analyst"/>
    <s v="L3"/>
    <s v="Halifax"/>
    <n v="8"/>
    <n v="74400"/>
    <n v="3"/>
    <n v="88000"/>
    <n v="0.84545454545454546"/>
    <n v="-13600"/>
    <n v="-0.15454545454545454"/>
    <x v="0"/>
  </r>
  <r>
    <s v="E0086"/>
    <x v="1"/>
    <s v="HR Assistant"/>
    <s v="L1"/>
    <s v="Halifax"/>
    <n v="3"/>
    <n v="54100"/>
    <n v="3"/>
    <n v="50000"/>
    <n v="1.0820000000000001"/>
    <n v="4100"/>
    <n v="8.2000000000000003E-2"/>
    <x v="3"/>
  </r>
  <r>
    <s v="E0087"/>
    <x v="2"/>
    <s v="Research Assistant"/>
    <s v="L1"/>
    <s v="Halifax"/>
    <n v="3"/>
    <n v="53300"/>
    <n v="3"/>
    <n v="52000"/>
    <n v="1.0249999999999999"/>
    <n v="1300"/>
    <n v="2.5000000000000001E-2"/>
    <x v="1"/>
  </r>
  <r>
    <s v="E0088"/>
    <x v="4"/>
    <s v="Office Manager"/>
    <s v="L3"/>
    <s v="Halifax"/>
    <n v="15"/>
    <n v="72800"/>
    <n v="2"/>
    <n v="72000"/>
    <n v="1.0111111111111111"/>
    <n v="800"/>
    <n v="1.1111111111111112E-2"/>
    <x v="1"/>
  </r>
  <r>
    <s v="E0089"/>
    <x v="4"/>
    <s v="Office Manager"/>
    <s v="L3"/>
    <s v="Halifax"/>
    <n v="4"/>
    <n v="76600"/>
    <n v="3"/>
    <n v="72000"/>
    <n v="1.0638888888888889"/>
    <n v="4600"/>
    <n v="6.3888888888888884E-2"/>
    <x v="3"/>
  </r>
  <r>
    <s v="E0090"/>
    <x v="1"/>
    <s v="HR Assistant"/>
    <s v="L1"/>
    <s v="Halifax"/>
    <n v="16"/>
    <n v="51800"/>
    <n v="3"/>
    <n v="50000"/>
    <n v="1.036"/>
    <n v="1800"/>
    <n v="3.5999999999999997E-2"/>
    <x v="1"/>
  </r>
  <r>
    <s v="E0091"/>
    <x v="0"/>
    <s v="IT Support Analyst"/>
    <s v="L1"/>
    <s v="Halifax"/>
    <n v="12"/>
    <n v="57000"/>
    <n v="4"/>
    <n v="58000"/>
    <n v="0.98275862068965514"/>
    <n v="-1000"/>
    <n v="-1.7241379310344827E-2"/>
    <x v="1"/>
  </r>
  <r>
    <s v="E0092"/>
    <x v="0"/>
    <s v="Senior Systems Analyst"/>
    <s v="L3"/>
    <s v="Halifax"/>
    <n v="14"/>
    <n v="91800"/>
    <n v="2"/>
    <n v="98000"/>
    <n v="0.93673469387755104"/>
    <n v="-6200"/>
    <n v="-6.3265306122448975E-2"/>
    <x v="2"/>
  </r>
  <r>
    <s v="E0093"/>
    <x v="2"/>
    <s v="Senior Policy Analyst"/>
    <s v="L3"/>
    <s v="Halifax"/>
    <n v="11"/>
    <n v="95900"/>
    <n v="3"/>
    <n v="90000"/>
    <n v="1.0655555555555556"/>
    <n v="5900"/>
    <n v="6.5555555555555561E-2"/>
    <x v="3"/>
  </r>
  <r>
    <s v="E0094"/>
    <x v="4"/>
    <s v="Office Manager"/>
    <s v="L3"/>
    <s v="Halifax"/>
    <n v="12"/>
    <n v="74100"/>
    <n v="5"/>
    <n v="72000"/>
    <n v="1.0291666666666666"/>
    <n v="2100"/>
    <n v="2.9166666666666667E-2"/>
    <x v="1"/>
  </r>
  <r>
    <s v="E0095"/>
    <x v="5"/>
    <s v="Senior Financial Analyst"/>
    <s v="L3"/>
    <s v="Halifax"/>
    <n v="13"/>
    <n v="92200"/>
    <n v="3"/>
    <n v="88000"/>
    <n v="1.0477272727272726"/>
    <n v="4200"/>
    <n v="4.7727272727272729E-2"/>
    <x v="1"/>
  </r>
  <r>
    <s v="E0096"/>
    <x v="1"/>
    <s v="HR Advisor"/>
    <s v="L3"/>
    <s v="Halifax"/>
    <n v="17"/>
    <n v="76700"/>
    <n v="5"/>
    <n v="82000"/>
    <n v="0.93536585365853664"/>
    <n v="-5300"/>
    <n v="-6.4634146341463417E-2"/>
    <x v="2"/>
  </r>
  <r>
    <s v="E0097"/>
    <x v="4"/>
    <s v="Administrative Coordinator"/>
    <s v="L2"/>
    <s v="Halifax"/>
    <n v="11"/>
    <n v="53600"/>
    <n v="4"/>
    <n v="58000"/>
    <n v="0.92413793103448272"/>
    <n v="-4400"/>
    <n v="-7.586206896551724E-2"/>
    <x v="2"/>
  </r>
  <r>
    <s v="E0098"/>
    <x v="5"/>
    <s v="Finance Assistant"/>
    <s v="L1"/>
    <s v="Halifax"/>
    <n v="17"/>
    <n v="55600"/>
    <n v="4"/>
    <n v="52000"/>
    <n v="1.0692307692307692"/>
    <n v="3600"/>
    <n v="6.9230769230769235E-2"/>
    <x v="3"/>
  </r>
  <r>
    <s v="E0099"/>
    <x v="5"/>
    <s v="Finance Assistant"/>
    <s v="L1"/>
    <s v="Halifax"/>
    <n v="4"/>
    <n v="54900"/>
    <n v="3"/>
    <n v="52000"/>
    <n v="1.0557692307692308"/>
    <n v="2900"/>
    <n v="5.5769230769230772E-2"/>
    <x v="3"/>
  </r>
  <r>
    <s v="E0100"/>
    <x v="3"/>
    <s v="Operations Assistant"/>
    <s v="L1"/>
    <s v="Halifax"/>
    <n v="6"/>
    <n v="48700"/>
    <n v="5"/>
    <n v="50000"/>
    <n v="0.97399999999999998"/>
    <n v="-1300"/>
    <n v="-2.5999999999999999E-2"/>
    <x v="1"/>
  </r>
  <r>
    <s v="E0101"/>
    <x v="0"/>
    <s v="Systems Analyst"/>
    <s v="L2"/>
    <s v="Halifax"/>
    <n v="18"/>
    <n v="58200"/>
    <n v="4"/>
    <n v="78000"/>
    <n v="0.74615384615384617"/>
    <n v="-19800"/>
    <n v="-0.25384615384615383"/>
    <x v="0"/>
  </r>
  <r>
    <s v="E0102"/>
    <x v="5"/>
    <s v="Senior Financial Analyst"/>
    <s v="L3"/>
    <s v="Halifax"/>
    <n v="6"/>
    <n v="97400"/>
    <n v="3"/>
    <n v="88000"/>
    <n v="1.1068181818181819"/>
    <n v="9400"/>
    <n v="0.10681818181818181"/>
    <x v="3"/>
  </r>
  <r>
    <s v="E0103"/>
    <x v="2"/>
    <s v="Research Assistant"/>
    <s v="L1"/>
    <s v="Halifax"/>
    <n v="17"/>
    <n v="51100"/>
    <n v="3"/>
    <n v="52000"/>
    <n v="0.98269230769230764"/>
    <n v="-900"/>
    <n v="-1.7307692307692309E-2"/>
    <x v="1"/>
  </r>
  <r>
    <s v="E0104"/>
    <x v="4"/>
    <s v="Office Manager"/>
    <s v="L3"/>
    <s v="Halifax"/>
    <n v="12"/>
    <n v="62400"/>
    <n v="3"/>
    <n v="72000"/>
    <n v="0.8666666666666667"/>
    <n v="-9600"/>
    <n v="-0.13333333333333333"/>
    <x v="2"/>
  </r>
  <r>
    <s v="E0105"/>
    <x v="4"/>
    <s v="Office Manager"/>
    <s v="L3"/>
    <s v="Halifax"/>
    <n v="16"/>
    <n v="49900"/>
    <n v="2"/>
    <n v="72000"/>
    <n v="0.69305555555555554"/>
    <n v="-22100"/>
    <n v="-0.30694444444444446"/>
    <x v="0"/>
  </r>
  <r>
    <s v="E0106"/>
    <x v="5"/>
    <s v="Finance Assistant"/>
    <s v="L1"/>
    <s v="Halifax"/>
    <n v="12"/>
    <n v="55300"/>
    <n v="1"/>
    <n v="52000"/>
    <n v="1.0634615384615385"/>
    <n v="3300"/>
    <n v="6.3461538461538458E-2"/>
    <x v="3"/>
  </r>
  <r>
    <s v="E0107"/>
    <x v="2"/>
    <s v="Policy Analyst"/>
    <s v="L2"/>
    <s v="Halifax"/>
    <n v="20"/>
    <n v="69100"/>
    <n v="5"/>
    <n v="72000"/>
    <n v="0.95972222222222225"/>
    <n v="-2900"/>
    <n v="-4.027777777777778E-2"/>
    <x v="1"/>
  </r>
  <r>
    <s v="E0108"/>
    <x v="0"/>
    <s v="IT Support Analyst"/>
    <s v="L1"/>
    <s v="Halifax"/>
    <n v="17"/>
    <n v="50600"/>
    <n v="3"/>
    <n v="58000"/>
    <n v="0.87241379310344824"/>
    <n v="-7400"/>
    <n v="-0.12758620689655173"/>
    <x v="2"/>
  </r>
  <r>
    <s v="E0109"/>
    <x v="4"/>
    <s v="Administrative Coordinator"/>
    <s v="L2"/>
    <s v="Halifax"/>
    <n v="14"/>
    <n v="62100"/>
    <n v="3"/>
    <n v="58000"/>
    <n v="1.0706896551724139"/>
    <n v="4100"/>
    <n v="7.0689655172413796E-2"/>
    <x v="3"/>
  </r>
  <r>
    <s v="E0110"/>
    <x v="4"/>
    <s v="Office Manager"/>
    <s v="L3"/>
    <s v="Halifax"/>
    <n v="11"/>
    <n v="81500"/>
    <n v="5"/>
    <n v="72000"/>
    <n v="1.1319444444444444"/>
    <n v="9500"/>
    <n v="0.13194444444444445"/>
    <x v="3"/>
  </r>
  <r>
    <s v="E0111"/>
    <x v="3"/>
    <s v="Operations Assistant"/>
    <s v="L1"/>
    <s v="Halifax"/>
    <n v="7"/>
    <n v="41500"/>
    <n v="3"/>
    <n v="50000"/>
    <n v="0.83"/>
    <n v="-8500"/>
    <n v="-0.17"/>
    <x v="0"/>
  </r>
  <r>
    <s v="E0112"/>
    <x v="0"/>
    <s v="Systems Analyst"/>
    <s v="L2"/>
    <s v="Halifax"/>
    <n v="4"/>
    <n v="86500"/>
    <n v="5"/>
    <n v="78000"/>
    <n v="1.108974358974359"/>
    <n v="8500"/>
    <n v="0.10897435897435898"/>
    <x v="3"/>
  </r>
  <r>
    <s v="E0113"/>
    <x v="1"/>
    <s v="HR Analyst"/>
    <s v="L2"/>
    <s v="Halifax"/>
    <n v="16"/>
    <n v="76300"/>
    <n v="3"/>
    <n v="68000"/>
    <n v="1.1220588235294118"/>
    <n v="8300"/>
    <n v="0.12205882352941176"/>
    <x v="3"/>
  </r>
  <r>
    <s v="E0114"/>
    <x v="2"/>
    <s v="Research Assistant"/>
    <s v="L1"/>
    <s v="Halifax"/>
    <n v="13"/>
    <n v="41600"/>
    <n v="2"/>
    <n v="52000"/>
    <n v="0.8"/>
    <n v="-10400"/>
    <n v="-0.2"/>
    <x v="0"/>
  </r>
  <r>
    <s v="E0115"/>
    <x v="3"/>
    <s v="Operations Analyst"/>
    <s v="L2"/>
    <s v="Halifax"/>
    <n v="18"/>
    <n v="55600"/>
    <n v="4"/>
    <n v="68000"/>
    <n v="0.81764705882352939"/>
    <n v="-12400"/>
    <n v="-0.18235294117647058"/>
    <x v="0"/>
  </r>
  <r>
    <s v="E0116"/>
    <x v="3"/>
    <s v="Operations Analyst"/>
    <s v="L2"/>
    <s v="Halifax"/>
    <n v="12"/>
    <n v="77100"/>
    <n v="3"/>
    <n v="68000"/>
    <n v="1.1338235294117647"/>
    <n v="9100"/>
    <n v="0.1338235294117647"/>
    <x v="3"/>
  </r>
  <r>
    <s v="E0117"/>
    <x v="4"/>
    <s v="Administrative Coordinator"/>
    <s v="L2"/>
    <s v="Halifax"/>
    <n v="0"/>
    <n v="51500"/>
    <n v="3"/>
    <n v="58000"/>
    <n v="0.88793103448275867"/>
    <n v="-6500"/>
    <n v="-0.11206896551724138"/>
    <x v="2"/>
  </r>
  <r>
    <s v="E0118"/>
    <x v="1"/>
    <s v="HR Advisor"/>
    <s v="L3"/>
    <s v="Halifax"/>
    <n v="16"/>
    <n v="89700"/>
    <n v="4"/>
    <n v="82000"/>
    <n v="1.0939024390243903"/>
    <n v="7700"/>
    <n v="9.3902439024390244E-2"/>
    <x v="3"/>
  </r>
  <r>
    <s v="E0119"/>
    <x v="5"/>
    <s v="Finance Assistant"/>
    <s v="L1"/>
    <s v="Halifax"/>
    <n v="2"/>
    <n v="51200"/>
    <n v="2"/>
    <n v="52000"/>
    <n v="0.98461538461538467"/>
    <n v="-800"/>
    <n v="-1.5384615384615385E-2"/>
    <x v="1"/>
  </r>
  <r>
    <s v="E0120"/>
    <x v="2"/>
    <s v="Policy Analyst"/>
    <s v="L2"/>
    <s v="Halifax"/>
    <n v="2"/>
    <n v="82200"/>
    <n v="3"/>
    <n v="72000"/>
    <n v="1.1416666666666666"/>
    <n v="10200"/>
    <n v="0.14166666666666666"/>
    <x v="3"/>
  </r>
  <r>
    <s v="E0121"/>
    <x v="2"/>
    <s v="Research Assistant"/>
    <s v="L1"/>
    <s v="Halifax"/>
    <n v="4"/>
    <n v="42400"/>
    <n v="4"/>
    <n v="52000"/>
    <n v="0.81538461538461537"/>
    <n v="-9600"/>
    <n v="-0.18461538461538463"/>
    <x v="0"/>
  </r>
  <r>
    <s v="E0122"/>
    <x v="4"/>
    <s v="Administrative Coordinator"/>
    <s v="L2"/>
    <s v="Halifax"/>
    <n v="0"/>
    <n v="51400"/>
    <n v="5"/>
    <n v="58000"/>
    <n v="0.88620689655172413"/>
    <n v="-6600"/>
    <n v="-0.11379310344827587"/>
    <x v="2"/>
  </r>
  <r>
    <s v="E0123"/>
    <x v="2"/>
    <s v="Policy Analyst"/>
    <s v="L2"/>
    <s v="Halifax"/>
    <n v="0"/>
    <n v="57400"/>
    <n v="4"/>
    <n v="72000"/>
    <n v="0.79722222222222228"/>
    <n v="-14600"/>
    <n v="-0.20277777777777778"/>
    <x v="0"/>
  </r>
  <r>
    <s v="E0124"/>
    <x v="5"/>
    <s v="Financial Analyst"/>
    <s v="L2"/>
    <s v="Halifax"/>
    <n v="1"/>
    <n v="75400"/>
    <n v="3"/>
    <n v="70000"/>
    <n v="1.0771428571428572"/>
    <n v="5400"/>
    <n v="7.7142857142857138E-2"/>
    <x v="3"/>
  </r>
  <r>
    <s v="E0125"/>
    <x v="1"/>
    <s v="HR Advisor"/>
    <s v="L3"/>
    <s v="Halifax"/>
    <n v="17"/>
    <n v="94800"/>
    <n v="4"/>
    <n v="82000"/>
    <n v="1.1560975609756097"/>
    <n v="12800"/>
    <n v="0.15609756097560976"/>
    <x v="3"/>
  </r>
  <r>
    <s v="E0126"/>
    <x v="3"/>
    <s v="Operations Manager"/>
    <s v="L3"/>
    <s v="Halifax"/>
    <n v="16"/>
    <n v="95700"/>
    <n v="2"/>
    <n v="85000"/>
    <n v="1.1258823529411766"/>
    <n v="10700"/>
    <n v="0.12588235294117647"/>
    <x v="3"/>
  </r>
  <r>
    <s v="E0127"/>
    <x v="2"/>
    <s v="Research Assistant"/>
    <s v="L1"/>
    <s v="Halifax"/>
    <n v="13"/>
    <n v="47100"/>
    <n v="4"/>
    <n v="52000"/>
    <n v="0.90576923076923077"/>
    <n v="-4900"/>
    <n v="-9.4230769230769229E-2"/>
    <x v="2"/>
  </r>
  <r>
    <s v="E0128"/>
    <x v="0"/>
    <s v="Systems Analyst"/>
    <s v="L2"/>
    <s v="Halifax"/>
    <n v="5"/>
    <n v="71400"/>
    <n v="3"/>
    <n v="78000"/>
    <n v="0.91538461538461535"/>
    <n v="-6600"/>
    <n v="-8.461538461538462E-2"/>
    <x v="2"/>
  </r>
  <r>
    <s v="E0129"/>
    <x v="5"/>
    <s v="Financial Analyst"/>
    <s v="L2"/>
    <s v="Halifax"/>
    <n v="14"/>
    <n v="64600"/>
    <n v="3"/>
    <n v="70000"/>
    <n v="0.92285714285714282"/>
    <n v="-5400"/>
    <n v="-7.7142857142857138E-2"/>
    <x v="2"/>
  </r>
  <r>
    <s v="E0130"/>
    <x v="3"/>
    <s v="Operations Assistant"/>
    <s v="L1"/>
    <s v="Halifax"/>
    <n v="14"/>
    <n v="51100"/>
    <n v="3"/>
    <n v="50000"/>
    <n v="1.022"/>
    <n v="1100"/>
    <n v="2.1999999999999999E-2"/>
    <x v="1"/>
  </r>
  <r>
    <s v="E0131"/>
    <x v="5"/>
    <s v="Senior Financial Analyst"/>
    <s v="L3"/>
    <s v="Halifax"/>
    <n v="16"/>
    <n v="68600"/>
    <n v="5"/>
    <n v="88000"/>
    <n v="0.77954545454545454"/>
    <n v="-19400"/>
    <n v="-0.22045454545454546"/>
    <x v="0"/>
  </r>
  <r>
    <s v="E0132"/>
    <x v="2"/>
    <s v="Policy Analyst"/>
    <s v="L2"/>
    <s v="Halifax"/>
    <n v="5"/>
    <n v="68000"/>
    <n v="3"/>
    <n v="72000"/>
    <n v="0.94444444444444442"/>
    <n v="-4000"/>
    <n v="-5.5555555555555552E-2"/>
    <x v="2"/>
  </r>
  <r>
    <s v="E0133"/>
    <x v="2"/>
    <s v="Policy Analyst"/>
    <s v="L2"/>
    <s v="Halifax"/>
    <n v="10"/>
    <n v="71900"/>
    <n v="3"/>
    <n v="72000"/>
    <n v="0.99861111111111112"/>
    <n v="-100"/>
    <n v="-1.3888888888888889E-3"/>
    <x v="1"/>
  </r>
  <r>
    <s v="E0134"/>
    <x v="1"/>
    <s v="HR Analyst"/>
    <s v="L2"/>
    <s v="Halifax"/>
    <n v="15"/>
    <n v="50600"/>
    <n v="3"/>
    <n v="68000"/>
    <n v="0.74411764705882355"/>
    <n v="-17400"/>
    <n v="-0.25588235294117645"/>
    <x v="0"/>
  </r>
  <r>
    <s v="E0135"/>
    <x v="0"/>
    <s v="IT Support Analyst"/>
    <s v="L1"/>
    <s v="Halifax"/>
    <n v="2"/>
    <n v="57800"/>
    <n v="4"/>
    <n v="58000"/>
    <n v="0.99655172413793103"/>
    <n v="-200"/>
    <n v="-3.4482758620689655E-3"/>
    <x v="1"/>
  </r>
  <r>
    <s v="E0136"/>
    <x v="2"/>
    <s v="Policy Analyst"/>
    <s v="L2"/>
    <s v="Halifax"/>
    <n v="18"/>
    <n v="68500"/>
    <n v="1"/>
    <n v="72000"/>
    <n v="0.95138888888888884"/>
    <n v="-3500"/>
    <n v="-4.8611111111111112E-2"/>
    <x v="1"/>
  </r>
  <r>
    <s v="E0137"/>
    <x v="2"/>
    <s v="Policy Analyst"/>
    <s v="L2"/>
    <s v="Halifax"/>
    <n v="9"/>
    <n v="58100"/>
    <n v="3"/>
    <n v="72000"/>
    <n v="0.80694444444444446"/>
    <n v="-13900"/>
    <n v="-0.19305555555555556"/>
    <x v="0"/>
  </r>
  <r>
    <s v="E0138"/>
    <x v="5"/>
    <s v="Finance Assistant"/>
    <s v="L1"/>
    <s v="Halifax"/>
    <n v="13"/>
    <n v="48400"/>
    <n v="3"/>
    <n v="52000"/>
    <n v="0.93076923076923079"/>
    <n v="-3600"/>
    <n v="-6.9230769230769235E-2"/>
    <x v="2"/>
  </r>
  <r>
    <s v="E0139"/>
    <x v="1"/>
    <s v="HR Assistant"/>
    <s v="L1"/>
    <s v="Halifax"/>
    <n v="14"/>
    <n v="51800"/>
    <n v="3"/>
    <n v="50000"/>
    <n v="1.036"/>
    <n v="1800"/>
    <n v="3.5999999999999997E-2"/>
    <x v="1"/>
  </r>
  <r>
    <s v="E0140"/>
    <x v="4"/>
    <s v="Office Manager"/>
    <s v="L3"/>
    <s v="Halifax"/>
    <n v="19"/>
    <n v="63900"/>
    <n v="3"/>
    <n v="72000"/>
    <n v="0.88749999999999996"/>
    <n v="-8100"/>
    <n v="-0.1125"/>
    <x v="2"/>
  </r>
  <r>
    <s v="E0141"/>
    <x v="3"/>
    <s v="Operations Analyst"/>
    <s v="L2"/>
    <s v="Halifax"/>
    <n v="13"/>
    <n v="70400"/>
    <n v="3"/>
    <n v="68000"/>
    <n v="1.0352941176470589"/>
    <n v="2400"/>
    <n v="3.5294117647058823E-2"/>
    <x v="1"/>
  </r>
  <r>
    <s v="E0142"/>
    <x v="3"/>
    <s v="Operations Manager"/>
    <s v="L3"/>
    <s v="Halifax"/>
    <n v="14"/>
    <n v="72400"/>
    <n v="1"/>
    <n v="85000"/>
    <n v="0.85176470588235298"/>
    <n v="-12600"/>
    <n v="-0.14823529411764705"/>
    <x v="2"/>
  </r>
  <r>
    <s v="E0143"/>
    <x v="5"/>
    <s v="Financial Analyst"/>
    <s v="L2"/>
    <s v="Halifax"/>
    <n v="5"/>
    <n v="60800"/>
    <n v="3"/>
    <n v="70000"/>
    <n v="0.86857142857142855"/>
    <n v="-9200"/>
    <n v="-0.13142857142857142"/>
    <x v="2"/>
  </r>
  <r>
    <s v="E0144"/>
    <x v="2"/>
    <s v="Policy Analyst"/>
    <s v="L2"/>
    <s v="Halifax"/>
    <n v="6"/>
    <n v="61900"/>
    <n v="3"/>
    <n v="72000"/>
    <n v="0.85972222222222228"/>
    <n v="-10100"/>
    <n v="-0.14027777777777778"/>
    <x v="2"/>
  </r>
  <r>
    <s v="E0145"/>
    <x v="3"/>
    <s v="Operations Analyst"/>
    <s v="L2"/>
    <s v="Halifax"/>
    <n v="11"/>
    <n v="62200"/>
    <n v="3"/>
    <n v="68000"/>
    <n v="0.91470588235294115"/>
    <n v="-5800"/>
    <n v="-8.5294117647058826E-2"/>
    <x v="2"/>
  </r>
  <r>
    <s v="E0146"/>
    <x v="5"/>
    <s v="Senior Financial Analyst"/>
    <s v="L3"/>
    <s v="Halifax"/>
    <n v="8"/>
    <n v="65000"/>
    <n v="3"/>
    <n v="88000"/>
    <n v="0.73863636363636365"/>
    <n v="-23000"/>
    <n v="-0.26136363636363635"/>
    <x v="0"/>
  </r>
  <r>
    <s v="E0147"/>
    <x v="0"/>
    <s v="Senior Systems Analyst"/>
    <s v="L3"/>
    <s v="Halifax"/>
    <n v="1"/>
    <n v="107600"/>
    <n v="3"/>
    <n v="98000"/>
    <n v="1.0979591836734695"/>
    <n v="9600"/>
    <n v="9.7959183673469383E-2"/>
    <x v="3"/>
  </r>
  <r>
    <s v="E0148"/>
    <x v="5"/>
    <s v="Finance Assistant"/>
    <s v="L1"/>
    <s v="Halifax"/>
    <n v="4"/>
    <n v="59700"/>
    <n v="3"/>
    <n v="52000"/>
    <n v="1.148076923076923"/>
    <n v="7700"/>
    <n v="0.14807692307692308"/>
    <x v="3"/>
  </r>
  <r>
    <s v="E0149"/>
    <x v="5"/>
    <s v="Financial Analyst"/>
    <s v="L2"/>
    <s v="Halifax"/>
    <n v="12"/>
    <n v="62200"/>
    <n v="3"/>
    <n v="70000"/>
    <n v="0.88857142857142857"/>
    <n v="-7800"/>
    <n v="-0.11142857142857143"/>
    <x v="2"/>
  </r>
  <r>
    <s v="E0150"/>
    <x v="0"/>
    <s v="Systems Analyst"/>
    <s v="L2"/>
    <s v="Halifax"/>
    <n v="10"/>
    <n v="64300"/>
    <n v="2"/>
    <n v="78000"/>
    <n v="0.82435897435897432"/>
    <n v="-13700"/>
    <n v="-0.17564102564102563"/>
    <x v="0"/>
  </r>
  <r>
    <s v="E0151"/>
    <x v="3"/>
    <s v="Operations Manager"/>
    <s v="L3"/>
    <s v="Halifax"/>
    <n v="8"/>
    <n v="59500"/>
    <n v="2"/>
    <n v="85000"/>
    <n v="0.7"/>
    <n v="-25500"/>
    <n v="-0.3"/>
    <x v="0"/>
  </r>
  <r>
    <s v="E0152"/>
    <x v="0"/>
    <s v="Senior Systems Analyst"/>
    <s v="L3"/>
    <s v="Halifax"/>
    <n v="5"/>
    <n v="99800"/>
    <n v="3"/>
    <n v="98000"/>
    <n v="1.0183673469387755"/>
    <n v="1800"/>
    <n v="1.8367346938775512E-2"/>
    <x v="1"/>
  </r>
  <r>
    <s v="E0153"/>
    <x v="0"/>
    <s v="Senior Systems Analyst"/>
    <s v="L3"/>
    <s v="Halifax"/>
    <n v="3"/>
    <n v="93000"/>
    <n v="1"/>
    <n v="98000"/>
    <n v="0.94897959183673475"/>
    <n v="-5000"/>
    <n v="-5.1020408163265307E-2"/>
    <x v="2"/>
  </r>
  <r>
    <s v="E0154"/>
    <x v="3"/>
    <s v="Operations Manager"/>
    <s v="L3"/>
    <s v="Halifax"/>
    <n v="1"/>
    <n v="84600"/>
    <n v="3"/>
    <n v="85000"/>
    <n v="0.99529411764705877"/>
    <n v="-400"/>
    <n v="-4.7058823529411761E-3"/>
    <x v="1"/>
  </r>
  <r>
    <s v="E0155"/>
    <x v="5"/>
    <s v="Senior Financial Analyst"/>
    <s v="L3"/>
    <s v="Halifax"/>
    <n v="12"/>
    <n v="78600"/>
    <n v="4"/>
    <n v="88000"/>
    <n v="0.89318181818181819"/>
    <n v="-9400"/>
    <n v="-0.10681818181818181"/>
    <x v="2"/>
  </r>
  <r>
    <s v="E0156"/>
    <x v="1"/>
    <s v="HR Assistant"/>
    <s v="L1"/>
    <s v="Halifax"/>
    <n v="19"/>
    <n v="42500"/>
    <n v="3"/>
    <n v="50000"/>
    <n v="0.85"/>
    <n v="-7500"/>
    <n v="-0.15"/>
    <x v="2"/>
  </r>
  <r>
    <s v="E0157"/>
    <x v="4"/>
    <s v="Administrative Coordinator"/>
    <s v="L2"/>
    <s v="Halifax"/>
    <n v="13"/>
    <n v="48500"/>
    <n v="3"/>
    <n v="58000"/>
    <n v="0.83620689655172409"/>
    <n v="-9500"/>
    <n v="-0.16379310344827586"/>
    <x v="0"/>
  </r>
  <r>
    <s v="E0158"/>
    <x v="0"/>
    <s v="IT Support Analyst"/>
    <s v="L1"/>
    <s v="Halifax"/>
    <n v="10"/>
    <n v="56700"/>
    <n v="3"/>
    <n v="58000"/>
    <n v="0.97758620689655173"/>
    <n v="-1300"/>
    <n v="-2.2413793103448276E-2"/>
    <x v="1"/>
  </r>
  <r>
    <s v="E0159"/>
    <x v="3"/>
    <s v="Operations Analyst"/>
    <s v="L2"/>
    <s v="Halifax"/>
    <n v="9"/>
    <n v="55100"/>
    <n v="3"/>
    <n v="68000"/>
    <n v="0.81029411764705883"/>
    <n v="-12900"/>
    <n v="-0.18970588235294117"/>
    <x v="0"/>
  </r>
  <r>
    <s v="E0160"/>
    <x v="5"/>
    <s v="Finance Assistant"/>
    <s v="L1"/>
    <s v="Halifax"/>
    <n v="4"/>
    <n v="50600"/>
    <n v="1"/>
    <n v="52000"/>
    <n v="0.97307692307692306"/>
    <n v="-1400"/>
    <n v="-2.6923076923076925E-2"/>
    <x v="1"/>
  </r>
  <r>
    <s v="E0161"/>
    <x v="4"/>
    <s v="Office Manager"/>
    <s v="L3"/>
    <s v="Halifax"/>
    <n v="14"/>
    <n v="55700"/>
    <n v="3"/>
    <n v="72000"/>
    <n v="0.77361111111111114"/>
    <n v="-16300"/>
    <n v="-0.22638888888888889"/>
    <x v="0"/>
  </r>
  <r>
    <s v="E0162"/>
    <x v="4"/>
    <s v="Administrative Assistant"/>
    <s v="L1"/>
    <s v="Halifax"/>
    <n v="11"/>
    <n v="40600"/>
    <n v="3"/>
    <n v="48000"/>
    <n v="0.84583333333333333"/>
    <n v="-7400"/>
    <n v="-0.15416666666666667"/>
    <x v="0"/>
  </r>
  <r>
    <s v="E0163"/>
    <x v="2"/>
    <s v="Senior Policy Analyst"/>
    <s v="L3"/>
    <s v="Halifax"/>
    <n v="8"/>
    <n v="91500"/>
    <n v="3"/>
    <n v="90000"/>
    <n v="1.0166666666666666"/>
    <n v="1500"/>
    <n v="1.6666666666666666E-2"/>
    <x v="1"/>
  </r>
  <r>
    <s v="E0164"/>
    <x v="3"/>
    <s v="Operations Assistant"/>
    <s v="L1"/>
    <s v="Halifax"/>
    <n v="7"/>
    <n v="46600"/>
    <n v="4"/>
    <n v="50000"/>
    <n v="0.93200000000000005"/>
    <n v="-3400"/>
    <n v="-6.8000000000000005E-2"/>
    <x v="2"/>
  </r>
  <r>
    <s v="E0165"/>
    <x v="2"/>
    <s v="Policy Analyst"/>
    <s v="L2"/>
    <s v="Halifax"/>
    <n v="2"/>
    <n v="72300"/>
    <n v="3"/>
    <n v="72000"/>
    <n v="1.0041666666666667"/>
    <n v="300"/>
    <n v="4.1666666666666666E-3"/>
    <x v="1"/>
  </r>
  <r>
    <s v="E0166"/>
    <x v="5"/>
    <s v="Financial Analyst"/>
    <s v="L2"/>
    <s v="Halifax"/>
    <n v="3"/>
    <n v="73700"/>
    <n v="3"/>
    <n v="70000"/>
    <n v="1.0528571428571429"/>
    <n v="3700"/>
    <n v="5.2857142857142859E-2"/>
    <x v="3"/>
  </r>
  <r>
    <s v="E0167"/>
    <x v="5"/>
    <s v="Finance Assistant"/>
    <s v="L1"/>
    <s v="Halifax"/>
    <n v="17"/>
    <n v="38800"/>
    <n v="4"/>
    <n v="52000"/>
    <n v="0.74615384615384617"/>
    <n v="-13200"/>
    <n v="-0.25384615384615383"/>
    <x v="0"/>
  </r>
  <r>
    <s v="E0168"/>
    <x v="1"/>
    <s v="HR Assistant"/>
    <s v="L1"/>
    <s v="Halifax"/>
    <n v="5"/>
    <n v="42500"/>
    <n v="3"/>
    <n v="50000"/>
    <n v="0.85"/>
    <n v="-7500"/>
    <n v="-0.15"/>
    <x v="2"/>
  </r>
  <r>
    <s v="E0169"/>
    <x v="4"/>
    <s v="Administrative Assistant"/>
    <s v="L1"/>
    <s v="Halifax"/>
    <n v="16"/>
    <n v="49600"/>
    <n v="4"/>
    <n v="48000"/>
    <n v="1.0333333333333334"/>
    <n v="1600"/>
    <n v="3.3333333333333333E-2"/>
    <x v="1"/>
  </r>
  <r>
    <s v="E0170"/>
    <x v="1"/>
    <s v="HR Advisor"/>
    <s v="L3"/>
    <s v="Halifax"/>
    <n v="18"/>
    <n v="59800"/>
    <n v="3"/>
    <n v="82000"/>
    <n v="0.72926829268292681"/>
    <n v="-22200"/>
    <n v="-0.27073170731707319"/>
    <x v="0"/>
  </r>
  <r>
    <s v="E0171"/>
    <x v="1"/>
    <s v="HR Advisor"/>
    <s v="L3"/>
    <s v="Halifax"/>
    <n v="18"/>
    <n v="80700"/>
    <n v="3"/>
    <n v="82000"/>
    <n v="0.98414634146341462"/>
    <n v="-1300"/>
    <n v="-1.5853658536585366E-2"/>
    <x v="1"/>
  </r>
  <r>
    <s v="E0172"/>
    <x v="2"/>
    <s v="Research Assistant"/>
    <s v="L1"/>
    <s v="Halifax"/>
    <n v="19"/>
    <n v="47200"/>
    <n v="4"/>
    <n v="52000"/>
    <n v="0.90769230769230769"/>
    <n v="-4800"/>
    <n v="-9.2307692307692313E-2"/>
    <x v="2"/>
  </r>
  <r>
    <s v="E0173"/>
    <x v="1"/>
    <s v="HR Assistant"/>
    <s v="L1"/>
    <s v="Halifax"/>
    <n v="5"/>
    <n v="52400"/>
    <n v="4"/>
    <n v="50000"/>
    <n v="1.048"/>
    <n v="2400"/>
    <n v="4.8000000000000001E-2"/>
    <x v="1"/>
  </r>
  <r>
    <s v="E0174"/>
    <x v="4"/>
    <s v="Administrative Coordinator"/>
    <s v="L2"/>
    <s v="Halifax"/>
    <n v="3"/>
    <n v="59300"/>
    <n v="3"/>
    <n v="58000"/>
    <n v="1.0224137931034483"/>
    <n v="1300"/>
    <n v="2.2413793103448276E-2"/>
    <x v="1"/>
  </r>
  <r>
    <s v="E0175"/>
    <x v="5"/>
    <s v="Finance Assistant"/>
    <s v="L1"/>
    <s v="Halifax"/>
    <n v="9"/>
    <n v="56100"/>
    <n v="3"/>
    <n v="52000"/>
    <n v="1.0788461538461538"/>
    <n v="4100"/>
    <n v="7.8846153846153844E-2"/>
    <x v="3"/>
  </r>
  <r>
    <s v="E0176"/>
    <x v="2"/>
    <s v="Research Assistant"/>
    <s v="L1"/>
    <s v="Halifax"/>
    <n v="14"/>
    <n v="47100"/>
    <n v="3"/>
    <n v="52000"/>
    <n v="0.90576923076923077"/>
    <n v="-4900"/>
    <n v="-9.4230769230769229E-2"/>
    <x v="2"/>
  </r>
  <r>
    <s v="E0177"/>
    <x v="2"/>
    <s v="Policy Analyst"/>
    <s v="L2"/>
    <s v="Halifax"/>
    <n v="18"/>
    <n v="56600"/>
    <n v="4"/>
    <n v="72000"/>
    <n v="0.78611111111111109"/>
    <n v="-15400"/>
    <n v="-0.21388888888888888"/>
    <x v="0"/>
  </r>
  <r>
    <s v="E0178"/>
    <x v="2"/>
    <s v="Senior Policy Analyst"/>
    <s v="L3"/>
    <s v="Halifax"/>
    <n v="9"/>
    <n v="88000"/>
    <n v="3"/>
    <n v="90000"/>
    <n v="0.97777777777777775"/>
    <n v="-2000"/>
    <n v="-2.2222222222222223E-2"/>
    <x v="1"/>
  </r>
  <r>
    <s v="E0179"/>
    <x v="3"/>
    <s v="Operations Manager"/>
    <s v="L3"/>
    <s v="Halifax"/>
    <n v="14"/>
    <n v="87200"/>
    <n v="3"/>
    <n v="85000"/>
    <n v="1.0258823529411765"/>
    <n v="2200"/>
    <n v="2.5882352941176471E-2"/>
    <x v="1"/>
  </r>
  <r>
    <s v="E0180"/>
    <x v="3"/>
    <s v="Operations Analyst"/>
    <s v="L2"/>
    <s v="Halifax"/>
    <n v="0"/>
    <n v="66000"/>
    <n v="1"/>
    <n v="68000"/>
    <n v="0.97058823529411764"/>
    <n v="-2000"/>
    <n v="-2.9411764705882353E-2"/>
    <x v="1"/>
  </r>
  <r>
    <s v="E0181"/>
    <x v="0"/>
    <s v="Senior Systems Analyst"/>
    <s v="L3"/>
    <s v="Halifax"/>
    <n v="11"/>
    <n v="87200"/>
    <n v="2"/>
    <n v="98000"/>
    <n v="0.88979591836734695"/>
    <n v="-10800"/>
    <n v="-0.11020408163265306"/>
    <x v="2"/>
  </r>
  <r>
    <s v="E0182"/>
    <x v="4"/>
    <s v="Administrative Coordinator"/>
    <s v="L2"/>
    <s v="Halifax"/>
    <n v="18"/>
    <n v="62700"/>
    <n v="4"/>
    <n v="58000"/>
    <n v="1.0810344827586207"/>
    <n v="4700"/>
    <n v="8.1034482758620685E-2"/>
    <x v="3"/>
  </r>
  <r>
    <s v="E0183"/>
    <x v="4"/>
    <s v="Administrative Coordinator"/>
    <s v="L2"/>
    <s v="Halifax"/>
    <n v="10"/>
    <n v="69800"/>
    <n v="3"/>
    <n v="58000"/>
    <n v="1.203448275862069"/>
    <n v="11800"/>
    <n v="0.20344827586206896"/>
    <x v="3"/>
  </r>
  <r>
    <s v="E0184"/>
    <x v="2"/>
    <s v="Senior Policy Analyst"/>
    <s v="L3"/>
    <s v="Halifax"/>
    <n v="8"/>
    <n v="90200"/>
    <n v="4"/>
    <n v="90000"/>
    <n v="1.0022222222222221"/>
    <n v="200"/>
    <n v="2.2222222222222222E-3"/>
    <x v="1"/>
  </r>
  <r>
    <s v="E0185"/>
    <x v="5"/>
    <s v="Finance Assistant"/>
    <s v="L1"/>
    <s v="Halifax"/>
    <n v="20"/>
    <n v="48300"/>
    <n v="3"/>
    <n v="52000"/>
    <n v="0.92884615384615388"/>
    <n v="-3700"/>
    <n v="-7.1153846153846151E-2"/>
    <x v="2"/>
  </r>
  <r>
    <s v="E0186"/>
    <x v="5"/>
    <s v="Senior Financial Analyst"/>
    <s v="L3"/>
    <s v="Halifax"/>
    <n v="5"/>
    <n v="75300"/>
    <n v="3"/>
    <n v="88000"/>
    <n v="0.85568181818181821"/>
    <n v="-12700"/>
    <n v="-0.14431818181818182"/>
    <x v="2"/>
  </r>
  <r>
    <s v="E0187"/>
    <x v="5"/>
    <s v="Senior Financial Analyst"/>
    <s v="L3"/>
    <s v="Halifax"/>
    <n v="1"/>
    <n v="79700"/>
    <n v="5"/>
    <n v="88000"/>
    <n v="0.90568181818181814"/>
    <n v="-8300"/>
    <n v="-9.4318181818181815E-2"/>
    <x v="2"/>
  </r>
  <r>
    <s v="E0188"/>
    <x v="1"/>
    <s v="HR Advisor"/>
    <s v="L3"/>
    <s v="Halifax"/>
    <n v="6"/>
    <n v="78600"/>
    <n v="3"/>
    <n v="82000"/>
    <n v="0.95853658536585362"/>
    <n v="-3400"/>
    <n v="-4.1463414634146344E-2"/>
    <x v="1"/>
  </r>
  <r>
    <s v="E0189"/>
    <x v="2"/>
    <s v="Research Assistant"/>
    <s v="L1"/>
    <s v="Halifax"/>
    <n v="16"/>
    <n v="44700"/>
    <n v="4"/>
    <n v="52000"/>
    <n v="0.85961538461538467"/>
    <n v="-7300"/>
    <n v="-0.14038461538461539"/>
    <x v="2"/>
  </r>
  <r>
    <s v="E0190"/>
    <x v="5"/>
    <s v="Finance Assistant"/>
    <s v="L1"/>
    <s v="Halifax"/>
    <n v="16"/>
    <n v="45700"/>
    <n v="3"/>
    <n v="52000"/>
    <n v="0.87884615384615383"/>
    <n v="-6300"/>
    <n v="-0.12115384615384615"/>
    <x v="2"/>
  </r>
  <r>
    <s v="E0191"/>
    <x v="0"/>
    <s v="IT Support Analyst"/>
    <s v="L1"/>
    <s v="Halifax"/>
    <n v="16"/>
    <n v="55700"/>
    <n v="3"/>
    <n v="58000"/>
    <n v="0.96034482758620687"/>
    <n v="-2300"/>
    <n v="-3.9655172413793106E-2"/>
    <x v="1"/>
  </r>
  <r>
    <s v="E0192"/>
    <x v="4"/>
    <s v="Office Manager"/>
    <s v="L3"/>
    <s v="Halifax"/>
    <n v="0"/>
    <n v="76500"/>
    <n v="3"/>
    <n v="72000"/>
    <n v="1.0625"/>
    <n v="4500"/>
    <n v="6.25E-2"/>
    <x v="3"/>
  </r>
  <r>
    <s v="E0193"/>
    <x v="3"/>
    <s v="Operations Manager"/>
    <s v="L3"/>
    <s v="Halifax"/>
    <n v="18"/>
    <n v="79800"/>
    <n v="3"/>
    <n v="85000"/>
    <n v="0.93882352941176472"/>
    <n v="-5200"/>
    <n v="-6.1176470588235297E-2"/>
    <x v="2"/>
  </r>
  <r>
    <s v="E0194"/>
    <x v="2"/>
    <s v="Research Assistant"/>
    <s v="L1"/>
    <s v="Halifax"/>
    <n v="12"/>
    <n v="50200"/>
    <n v="3"/>
    <n v="52000"/>
    <n v="0.9653846153846154"/>
    <n v="-1800"/>
    <n v="-3.4615384615384617E-2"/>
    <x v="1"/>
  </r>
  <r>
    <s v="E0195"/>
    <x v="1"/>
    <s v="HR Analyst"/>
    <s v="L2"/>
    <s v="Halifax"/>
    <n v="0"/>
    <n v="74000"/>
    <n v="4"/>
    <n v="68000"/>
    <n v="1.088235294117647"/>
    <n v="6000"/>
    <n v="8.8235294117647065E-2"/>
    <x v="3"/>
  </r>
  <r>
    <s v="E0196"/>
    <x v="0"/>
    <s v="IT Support Analyst"/>
    <s v="L1"/>
    <s v="Halifax"/>
    <n v="17"/>
    <n v="39700"/>
    <n v="3"/>
    <n v="58000"/>
    <n v="0.68448275862068964"/>
    <n v="-18300"/>
    <n v="-0.31551724137931036"/>
    <x v="0"/>
  </r>
  <r>
    <s v="E0197"/>
    <x v="1"/>
    <s v="HR Advisor"/>
    <s v="L3"/>
    <s v="Halifax"/>
    <n v="3"/>
    <n v="66400"/>
    <n v="3"/>
    <n v="82000"/>
    <n v="0.80975609756097566"/>
    <n v="-15600"/>
    <n v="-0.19024390243902439"/>
    <x v="0"/>
  </r>
  <r>
    <s v="E0198"/>
    <x v="3"/>
    <s v="Operations Analyst"/>
    <s v="L2"/>
    <s v="Halifax"/>
    <n v="0"/>
    <n v="59300"/>
    <n v="1"/>
    <n v="68000"/>
    <n v="0.87205882352941178"/>
    <n v="-8700"/>
    <n v="-0.12794117647058822"/>
    <x v="2"/>
  </r>
  <r>
    <s v="E0199"/>
    <x v="0"/>
    <s v="Systems Analyst"/>
    <s v="L2"/>
    <s v="Halifax"/>
    <n v="6"/>
    <n v="79700"/>
    <n v="4"/>
    <n v="78000"/>
    <n v="1.0217948717948717"/>
    <n v="1700"/>
    <n v="2.1794871794871794E-2"/>
    <x v="1"/>
  </r>
  <r>
    <s v="E0200"/>
    <x v="2"/>
    <s v="Policy Analyst"/>
    <s v="L2"/>
    <s v="Halifax"/>
    <n v="14"/>
    <n v="60300"/>
    <n v="3"/>
    <n v="72000"/>
    <n v="0.83750000000000002"/>
    <n v="-11700"/>
    <n v="-0.16250000000000001"/>
    <x v="0"/>
  </r>
  <r>
    <s v="E0201"/>
    <x v="1"/>
    <s v="HR Assistant"/>
    <s v="L1"/>
    <s v="Halifax"/>
    <n v="14"/>
    <n v="53700"/>
    <n v="4"/>
    <n v="50000"/>
    <n v="1.0740000000000001"/>
    <n v="3700"/>
    <n v="7.3999999999999996E-2"/>
    <x v="3"/>
  </r>
  <r>
    <s v="E0202"/>
    <x v="0"/>
    <s v="IT Support Analyst"/>
    <s v="L1"/>
    <s v="Halifax"/>
    <n v="20"/>
    <n v="57500"/>
    <n v="3"/>
    <n v="58000"/>
    <n v="0.99137931034482762"/>
    <n v="-500"/>
    <n v="-8.6206896551724137E-3"/>
    <x v="1"/>
  </r>
  <r>
    <s v="E0203"/>
    <x v="5"/>
    <s v="Senior Financial Analyst"/>
    <s v="L3"/>
    <s v="Halifax"/>
    <n v="9"/>
    <n v="86500"/>
    <n v="2"/>
    <n v="88000"/>
    <n v="0.98295454545454541"/>
    <n v="-1500"/>
    <n v="-1.7045454545454544E-2"/>
    <x v="1"/>
  </r>
  <r>
    <s v="E0204"/>
    <x v="0"/>
    <s v="Systems Analyst"/>
    <s v="L2"/>
    <s v="Halifax"/>
    <n v="1"/>
    <n v="64300"/>
    <n v="5"/>
    <n v="78000"/>
    <n v="0.82435897435897432"/>
    <n v="-13700"/>
    <n v="-0.17564102564102563"/>
    <x v="0"/>
  </r>
  <r>
    <s v="E0205"/>
    <x v="2"/>
    <s v="Senior Policy Analyst"/>
    <s v="L3"/>
    <s v="Halifax"/>
    <n v="9"/>
    <n v="82500"/>
    <n v="4"/>
    <n v="90000"/>
    <n v="0.91666666666666663"/>
    <n v="-7500"/>
    <n v="-8.3333333333333329E-2"/>
    <x v="2"/>
  </r>
  <r>
    <s v="E0206"/>
    <x v="0"/>
    <s v="IT Support Analyst"/>
    <s v="L1"/>
    <s v="Halifax"/>
    <n v="4"/>
    <n v="54500"/>
    <n v="3"/>
    <n v="58000"/>
    <n v="0.93965517241379315"/>
    <n v="-3500"/>
    <n v="-6.0344827586206899E-2"/>
    <x v="2"/>
  </r>
  <r>
    <s v="E0207"/>
    <x v="3"/>
    <s v="Operations Assistant"/>
    <s v="L1"/>
    <s v="Halifax"/>
    <n v="1"/>
    <n v="45700"/>
    <n v="4"/>
    <n v="50000"/>
    <n v="0.91400000000000003"/>
    <n v="-4300"/>
    <n v="-8.5999999999999993E-2"/>
    <x v="2"/>
  </r>
  <r>
    <s v="E0208"/>
    <x v="3"/>
    <s v="Operations Manager"/>
    <s v="L3"/>
    <s v="Halifax"/>
    <n v="13"/>
    <n v="82900"/>
    <n v="3"/>
    <n v="85000"/>
    <n v="0.97529411764705887"/>
    <n v="-2100"/>
    <n v="-2.4705882352941175E-2"/>
    <x v="1"/>
  </r>
  <r>
    <s v="E0209"/>
    <x v="4"/>
    <s v="Administrative Coordinator"/>
    <s v="L2"/>
    <s v="Halifax"/>
    <n v="18"/>
    <n v="60100"/>
    <n v="3"/>
    <n v="58000"/>
    <n v="1.0362068965517242"/>
    <n v="2100"/>
    <n v="3.6206896551724141E-2"/>
    <x v="1"/>
  </r>
  <r>
    <s v="E0210"/>
    <x v="4"/>
    <s v="Office Manager"/>
    <s v="L3"/>
    <s v="Halifax"/>
    <n v="8"/>
    <n v="76000"/>
    <n v="2"/>
    <n v="72000"/>
    <n v="1.0555555555555556"/>
    <n v="4000"/>
    <n v="5.5555555555555552E-2"/>
    <x v="3"/>
  </r>
  <r>
    <s v="E0211"/>
    <x v="1"/>
    <s v="HR Analyst"/>
    <s v="L2"/>
    <s v="Halifax"/>
    <n v="3"/>
    <n v="66600"/>
    <n v="2"/>
    <n v="68000"/>
    <n v="0.97941176470588232"/>
    <n v="-1400"/>
    <n v="-2.0588235294117647E-2"/>
    <x v="1"/>
  </r>
  <r>
    <s v="E0212"/>
    <x v="2"/>
    <s v="Senior Policy Analyst"/>
    <s v="L3"/>
    <s v="Halifax"/>
    <n v="5"/>
    <n v="91100"/>
    <n v="5"/>
    <n v="90000"/>
    <n v="1.0122222222222221"/>
    <n v="1100"/>
    <n v="1.2222222222222223E-2"/>
    <x v="1"/>
  </r>
  <r>
    <s v="E0213"/>
    <x v="2"/>
    <s v="Policy Analyst"/>
    <s v="L2"/>
    <s v="Halifax"/>
    <n v="3"/>
    <n v="67300"/>
    <n v="3"/>
    <n v="72000"/>
    <n v="0.93472222222222223"/>
    <n v="-4700"/>
    <n v="-6.5277777777777782E-2"/>
    <x v="2"/>
  </r>
  <r>
    <s v="E0214"/>
    <x v="3"/>
    <s v="Operations Analyst"/>
    <s v="L2"/>
    <s v="Halifax"/>
    <n v="11"/>
    <n v="60000"/>
    <n v="3"/>
    <n v="68000"/>
    <n v="0.88235294117647056"/>
    <n v="-8000"/>
    <n v="-0.11764705882352941"/>
    <x v="2"/>
  </r>
  <r>
    <s v="E0215"/>
    <x v="5"/>
    <s v="Financial Analyst"/>
    <s v="L2"/>
    <s v="Halifax"/>
    <n v="20"/>
    <n v="72900"/>
    <n v="3"/>
    <n v="70000"/>
    <n v="1.0414285714285714"/>
    <n v="2900"/>
    <n v="4.1428571428571426E-2"/>
    <x v="1"/>
  </r>
  <r>
    <s v="E0216"/>
    <x v="5"/>
    <s v="Finance Assistant"/>
    <s v="L1"/>
    <s v="Halifax"/>
    <n v="20"/>
    <n v="44600"/>
    <n v="3"/>
    <n v="52000"/>
    <n v="0.85769230769230764"/>
    <n v="-7400"/>
    <n v="-0.1423076923076923"/>
    <x v="2"/>
  </r>
  <r>
    <s v="E0217"/>
    <x v="2"/>
    <s v="Research Assistant"/>
    <s v="L1"/>
    <s v="Halifax"/>
    <n v="20"/>
    <n v="46200"/>
    <n v="3"/>
    <n v="52000"/>
    <n v="0.88846153846153841"/>
    <n v="-5800"/>
    <n v="-0.11153846153846154"/>
    <x v="2"/>
  </r>
  <r>
    <s v="E0218"/>
    <x v="0"/>
    <s v="Systems Analyst"/>
    <s v="L2"/>
    <s v="Halifax"/>
    <n v="10"/>
    <n v="74300"/>
    <n v="3"/>
    <n v="78000"/>
    <n v="0.95256410256410251"/>
    <n v="-3700"/>
    <n v="-4.7435897435897434E-2"/>
    <x v="1"/>
  </r>
  <r>
    <s v="E0219"/>
    <x v="2"/>
    <s v="Senior Policy Analyst"/>
    <s v="L3"/>
    <s v="Halifax"/>
    <n v="20"/>
    <n v="92900"/>
    <n v="4"/>
    <n v="90000"/>
    <n v="1.0322222222222222"/>
    <n v="2900"/>
    <n v="3.2222222222222222E-2"/>
    <x v="1"/>
  </r>
  <r>
    <s v="E0220"/>
    <x v="1"/>
    <s v="HR Advisor"/>
    <s v="L3"/>
    <s v="Halifax"/>
    <n v="7"/>
    <n v="76900"/>
    <n v="3"/>
    <n v="82000"/>
    <n v="0.93780487804878043"/>
    <n v="-5100"/>
    <n v="-6.2195121951219512E-2"/>
    <x v="2"/>
  </r>
  <r>
    <s v="E0221"/>
    <x v="5"/>
    <s v="Senior Financial Analyst"/>
    <s v="L3"/>
    <s v="Halifax"/>
    <n v="14"/>
    <n v="83200"/>
    <n v="5"/>
    <n v="88000"/>
    <n v="0.94545454545454544"/>
    <n v="-4800"/>
    <n v="-5.4545454545454543E-2"/>
    <x v="2"/>
  </r>
  <r>
    <s v="E0222"/>
    <x v="5"/>
    <s v="Senior Financial Analyst"/>
    <s v="L3"/>
    <s v="Halifax"/>
    <n v="19"/>
    <n v="73800"/>
    <n v="3"/>
    <n v="88000"/>
    <n v="0.83863636363636362"/>
    <n v="-14200"/>
    <n v="-0.16136363636363638"/>
    <x v="0"/>
  </r>
  <r>
    <s v="E0223"/>
    <x v="0"/>
    <s v="Senior Systems Analyst"/>
    <s v="L3"/>
    <s v="Halifax"/>
    <n v="16"/>
    <n v="76500"/>
    <n v="3"/>
    <n v="98000"/>
    <n v="0.78061224489795922"/>
    <n v="-21500"/>
    <n v="-0.21938775510204081"/>
    <x v="0"/>
  </r>
  <r>
    <s v="E0224"/>
    <x v="5"/>
    <s v="Financial Analyst"/>
    <s v="L2"/>
    <s v="Halifax"/>
    <n v="20"/>
    <n v="73400"/>
    <n v="3"/>
    <n v="70000"/>
    <n v="1.0485714285714285"/>
    <n v="3400"/>
    <n v="4.8571428571428571E-2"/>
    <x v="1"/>
  </r>
  <r>
    <s v="E0225"/>
    <x v="4"/>
    <s v="Administrative Assistant"/>
    <s v="L1"/>
    <s v="Halifax"/>
    <n v="10"/>
    <n v="41800"/>
    <n v="3"/>
    <n v="48000"/>
    <n v="0.87083333333333335"/>
    <n v="-6200"/>
    <n v="-0.12916666666666668"/>
    <x v="2"/>
  </r>
  <r>
    <s v="E0226"/>
    <x v="5"/>
    <s v="Finance Assistant"/>
    <s v="L1"/>
    <s v="Halifax"/>
    <n v="11"/>
    <n v="49000"/>
    <n v="4"/>
    <n v="52000"/>
    <n v="0.94230769230769229"/>
    <n v="-3000"/>
    <n v="-5.7692307692307696E-2"/>
    <x v="2"/>
  </r>
  <r>
    <s v="E0227"/>
    <x v="3"/>
    <s v="Operations Analyst"/>
    <s v="L2"/>
    <s v="Halifax"/>
    <n v="1"/>
    <n v="71300"/>
    <n v="2"/>
    <n v="68000"/>
    <n v="1.0485294117647059"/>
    <n v="3300"/>
    <n v="4.8529411764705883E-2"/>
    <x v="1"/>
  </r>
  <r>
    <s v="E0228"/>
    <x v="4"/>
    <s v="Administrative Assistant"/>
    <s v="L1"/>
    <s v="Halifax"/>
    <n v="16"/>
    <n v="42700"/>
    <n v="5"/>
    <n v="48000"/>
    <n v="0.88958333333333328"/>
    <n v="-5300"/>
    <n v="-0.11041666666666666"/>
    <x v="2"/>
  </r>
  <r>
    <s v="E0229"/>
    <x v="4"/>
    <s v="Office Manager"/>
    <s v="L3"/>
    <s v="Halifax"/>
    <n v="11"/>
    <n v="71100"/>
    <n v="3"/>
    <n v="72000"/>
    <n v="0.98750000000000004"/>
    <n v="-900"/>
    <n v="-1.2500000000000001E-2"/>
    <x v="1"/>
  </r>
  <r>
    <s v="E0230"/>
    <x v="2"/>
    <s v="Research Assistant"/>
    <s v="L1"/>
    <s v="Halifax"/>
    <n v="4"/>
    <n v="52600"/>
    <n v="4"/>
    <n v="52000"/>
    <n v="1.0115384615384615"/>
    <n v="600"/>
    <n v="1.1538461538461539E-2"/>
    <x v="1"/>
  </r>
  <r>
    <s v="E0231"/>
    <x v="3"/>
    <s v="Operations Assistant"/>
    <s v="L1"/>
    <s v="Halifax"/>
    <n v="17"/>
    <n v="49600"/>
    <n v="3"/>
    <n v="50000"/>
    <n v="0.99199999999999999"/>
    <n v="-400"/>
    <n v="-8.0000000000000002E-3"/>
    <x v="1"/>
  </r>
  <r>
    <s v="E0232"/>
    <x v="5"/>
    <s v="Finance Assistant"/>
    <s v="L1"/>
    <s v="Halifax"/>
    <n v="6"/>
    <n v="50500"/>
    <n v="1"/>
    <n v="52000"/>
    <n v="0.97115384615384615"/>
    <n v="-1500"/>
    <n v="-2.8846153846153848E-2"/>
    <x v="1"/>
  </r>
  <r>
    <s v="E0233"/>
    <x v="2"/>
    <s v="Senior Policy Analyst"/>
    <s v="L3"/>
    <s v="Halifax"/>
    <n v="8"/>
    <n v="83700"/>
    <n v="3"/>
    <n v="90000"/>
    <n v="0.93"/>
    <n v="-6300"/>
    <n v="-7.0000000000000007E-2"/>
    <x v="2"/>
  </r>
  <r>
    <s v="E0234"/>
    <x v="2"/>
    <s v="Policy Analyst"/>
    <s v="L2"/>
    <s v="Halifax"/>
    <n v="19"/>
    <n v="61500"/>
    <n v="4"/>
    <n v="72000"/>
    <n v="0.85416666666666663"/>
    <n v="-10500"/>
    <n v="-0.14583333333333334"/>
    <x v="2"/>
  </r>
  <r>
    <s v="E0235"/>
    <x v="5"/>
    <s v="Senior Financial Analyst"/>
    <s v="L3"/>
    <s v="Halifax"/>
    <n v="9"/>
    <n v="72400"/>
    <n v="3"/>
    <n v="88000"/>
    <n v="0.82272727272727275"/>
    <n v="-15600"/>
    <n v="-0.17727272727272728"/>
    <x v="0"/>
  </r>
  <r>
    <s v="E0236"/>
    <x v="0"/>
    <s v="IT Support Analyst"/>
    <s v="L1"/>
    <s v="Halifax"/>
    <n v="1"/>
    <n v="63300"/>
    <n v="4"/>
    <n v="58000"/>
    <n v="1.0913793103448275"/>
    <n v="5300"/>
    <n v="9.1379310344827588E-2"/>
    <x v="3"/>
  </r>
  <r>
    <s v="E0237"/>
    <x v="1"/>
    <s v="HR Analyst"/>
    <s v="L2"/>
    <s v="Halifax"/>
    <n v="11"/>
    <n v="65800"/>
    <n v="3"/>
    <n v="68000"/>
    <n v="0.96764705882352942"/>
    <n v="-2200"/>
    <n v="-3.2352941176470591E-2"/>
    <x v="1"/>
  </r>
  <r>
    <s v="E0238"/>
    <x v="3"/>
    <s v="Operations Assistant"/>
    <s v="L1"/>
    <s v="Halifax"/>
    <n v="12"/>
    <n v="54400"/>
    <n v="3"/>
    <n v="50000"/>
    <n v="1.0880000000000001"/>
    <n v="4400"/>
    <n v="8.7999999999999995E-2"/>
    <x v="3"/>
  </r>
  <r>
    <s v="E0239"/>
    <x v="2"/>
    <s v="Policy Analyst"/>
    <s v="L2"/>
    <s v="Halifax"/>
    <n v="11"/>
    <n v="73500"/>
    <n v="3"/>
    <n v="72000"/>
    <n v="1.0208333333333333"/>
    <n v="1500"/>
    <n v="2.0833333333333332E-2"/>
    <x v="1"/>
  </r>
  <r>
    <s v="E0240"/>
    <x v="1"/>
    <s v="HR Advisor"/>
    <s v="L3"/>
    <s v="Halifax"/>
    <n v="6"/>
    <n v="78300"/>
    <n v="1"/>
    <n v="82000"/>
    <n v="0.95487804878048776"/>
    <n v="-3700"/>
    <n v="-4.5121951219512194E-2"/>
    <x v="1"/>
  </r>
  <r>
    <s v="E0241"/>
    <x v="2"/>
    <s v="Policy Analyst"/>
    <s v="L2"/>
    <s v="Halifax"/>
    <n v="16"/>
    <n v="85000"/>
    <n v="3"/>
    <n v="72000"/>
    <n v="1.1805555555555556"/>
    <n v="13000"/>
    <n v="0.18055555555555555"/>
    <x v="3"/>
  </r>
  <r>
    <s v="E0242"/>
    <x v="0"/>
    <s v="Senior Systems Analyst"/>
    <s v="L3"/>
    <s v="Halifax"/>
    <n v="9"/>
    <n v="89500"/>
    <n v="2"/>
    <n v="98000"/>
    <n v="0.91326530612244894"/>
    <n v="-8500"/>
    <n v="-8.673469387755102E-2"/>
    <x v="2"/>
  </r>
  <r>
    <s v="E0243"/>
    <x v="0"/>
    <s v="IT Support Analyst"/>
    <s v="L1"/>
    <s v="Halifax"/>
    <n v="0"/>
    <n v="53400"/>
    <n v="3"/>
    <n v="58000"/>
    <n v="0.92068965517241375"/>
    <n v="-4600"/>
    <n v="-7.9310344827586213E-2"/>
    <x v="2"/>
  </r>
  <r>
    <s v="E0244"/>
    <x v="3"/>
    <s v="Operations Analyst"/>
    <s v="L2"/>
    <s v="Halifax"/>
    <n v="3"/>
    <n v="59100"/>
    <n v="4"/>
    <n v="68000"/>
    <n v="0.86911764705882355"/>
    <n v="-8900"/>
    <n v="-0.13088235294117648"/>
    <x v="2"/>
  </r>
  <r>
    <s v="E0245"/>
    <x v="2"/>
    <s v="Research Assistant"/>
    <s v="L1"/>
    <s v="Halifax"/>
    <n v="15"/>
    <n v="49200"/>
    <n v="1"/>
    <n v="52000"/>
    <n v="0.94615384615384612"/>
    <n v="-2800"/>
    <n v="-5.3846153846153849E-2"/>
    <x v="2"/>
  </r>
  <r>
    <s v="E0246"/>
    <x v="4"/>
    <s v="Administrative Assistant"/>
    <s v="L1"/>
    <s v="Halifax"/>
    <n v="3"/>
    <n v="46700"/>
    <n v="3"/>
    <n v="48000"/>
    <n v="0.97291666666666665"/>
    <n v="-1300"/>
    <n v="-2.7083333333333334E-2"/>
    <x v="1"/>
  </r>
  <r>
    <s v="E0247"/>
    <x v="5"/>
    <s v="Finance Assistant"/>
    <s v="L1"/>
    <s v="Halifax"/>
    <n v="4"/>
    <n v="54500"/>
    <n v="2"/>
    <n v="52000"/>
    <n v="1.0480769230769231"/>
    <n v="2500"/>
    <n v="4.807692307692308E-2"/>
    <x v="1"/>
  </r>
  <r>
    <s v="E0248"/>
    <x v="3"/>
    <s v="Operations Manager"/>
    <s v="L3"/>
    <s v="Halifax"/>
    <n v="12"/>
    <n v="78900"/>
    <n v="5"/>
    <n v="85000"/>
    <n v="0.92823529411764705"/>
    <n v="-6100"/>
    <n v="-7.1764705882352939E-2"/>
    <x v="2"/>
  </r>
  <r>
    <s v="E0249"/>
    <x v="0"/>
    <s v="Senior Systems Analyst"/>
    <s v="L3"/>
    <s v="Halifax"/>
    <n v="7"/>
    <n v="104500"/>
    <n v="5"/>
    <n v="98000"/>
    <n v="1.0663265306122449"/>
    <n v="6500"/>
    <n v="6.6326530612244902E-2"/>
    <x v="3"/>
  </r>
  <r>
    <s v="E0250"/>
    <x v="2"/>
    <s v="Policy Analyst"/>
    <s v="L2"/>
    <s v="Halifax"/>
    <n v="9"/>
    <n v="80100"/>
    <n v="1"/>
    <n v="72000"/>
    <n v="1.1125"/>
    <n v="8100"/>
    <n v="0.1125"/>
    <x v="3"/>
  </r>
  <r>
    <s v="E0251"/>
    <x v="4"/>
    <s v="Administrative Coordinator"/>
    <s v="L2"/>
    <s v="Halifax"/>
    <n v="8"/>
    <n v="51400"/>
    <n v="3"/>
    <n v="58000"/>
    <n v="0.88620689655172413"/>
    <n v="-6600"/>
    <n v="-0.11379310344827587"/>
    <x v="2"/>
  </r>
  <r>
    <s v="E0252"/>
    <x v="2"/>
    <s v="Policy Analyst"/>
    <s v="L2"/>
    <s v="Halifax"/>
    <n v="14"/>
    <n v="77000"/>
    <n v="3"/>
    <n v="72000"/>
    <n v="1.0694444444444444"/>
    <n v="5000"/>
    <n v="6.9444444444444448E-2"/>
    <x v="3"/>
  </r>
  <r>
    <s v="E0253"/>
    <x v="4"/>
    <s v="Office Manager"/>
    <s v="L3"/>
    <s v="Halifax"/>
    <n v="19"/>
    <n v="65700"/>
    <n v="5"/>
    <n v="72000"/>
    <n v="0.91249999999999998"/>
    <n v="-6300"/>
    <n v="-8.7499999999999994E-2"/>
    <x v="2"/>
  </r>
  <r>
    <s v="E0254"/>
    <x v="5"/>
    <s v="Financial Analyst"/>
    <s v="L2"/>
    <s v="Halifax"/>
    <n v="16"/>
    <n v="58300"/>
    <n v="3"/>
    <n v="70000"/>
    <n v="0.83285714285714285"/>
    <n v="-11700"/>
    <n v="-0.16714285714285715"/>
    <x v="0"/>
  </r>
  <r>
    <s v="E0255"/>
    <x v="1"/>
    <s v="HR Analyst"/>
    <s v="L2"/>
    <s v="Halifax"/>
    <n v="12"/>
    <n v="80600"/>
    <n v="3"/>
    <n v="68000"/>
    <n v="1.1852941176470588"/>
    <n v="12600"/>
    <n v="0.18529411764705883"/>
    <x v="3"/>
  </r>
  <r>
    <s v="E0256"/>
    <x v="3"/>
    <s v="Operations Assistant"/>
    <s v="L1"/>
    <s v="Halifax"/>
    <n v="1"/>
    <n v="52200"/>
    <n v="3"/>
    <n v="50000"/>
    <n v="1.044"/>
    <n v="2200"/>
    <n v="4.3999999999999997E-2"/>
    <x v="1"/>
  </r>
  <r>
    <s v="E0257"/>
    <x v="1"/>
    <s v="HR Advisor"/>
    <s v="L3"/>
    <s v="Halifax"/>
    <n v="8"/>
    <n v="82100"/>
    <n v="1"/>
    <n v="82000"/>
    <n v="1.001219512195122"/>
    <n v="100"/>
    <n v="1.2195121951219512E-3"/>
    <x v="1"/>
  </r>
  <r>
    <s v="E0258"/>
    <x v="1"/>
    <s v="HR Advisor"/>
    <s v="L3"/>
    <s v="Halifax"/>
    <n v="1"/>
    <n v="76300"/>
    <n v="3"/>
    <n v="82000"/>
    <n v="0.93048780487804883"/>
    <n v="-5700"/>
    <n v="-6.9512195121951226E-2"/>
    <x v="2"/>
  </r>
  <r>
    <s v="E0259"/>
    <x v="3"/>
    <s v="Operations Manager"/>
    <s v="L3"/>
    <s v="Halifax"/>
    <n v="4"/>
    <n v="85400"/>
    <n v="1"/>
    <n v="85000"/>
    <n v="1.0047058823529411"/>
    <n v="400"/>
    <n v="4.7058823529411761E-3"/>
    <x v="1"/>
  </r>
  <r>
    <s v="E0260"/>
    <x v="2"/>
    <s v="Research Assistant"/>
    <s v="L1"/>
    <s v="Halifax"/>
    <n v="12"/>
    <n v="49600"/>
    <n v="4"/>
    <n v="52000"/>
    <n v="0.9538461538461539"/>
    <n v="-2400"/>
    <n v="-4.6153846153846156E-2"/>
    <x v="1"/>
  </r>
  <r>
    <s v="E0261"/>
    <x v="2"/>
    <s v="Policy Analyst"/>
    <s v="L2"/>
    <s v="Halifax"/>
    <n v="18"/>
    <n v="77900"/>
    <n v="4"/>
    <n v="72000"/>
    <n v="1.0819444444444444"/>
    <n v="5900"/>
    <n v="8.1944444444444445E-2"/>
    <x v="3"/>
  </r>
  <r>
    <s v="E0262"/>
    <x v="1"/>
    <s v="HR Assistant"/>
    <s v="L1"/>
    <s v="Halifax"/>
    <n v="12"/>
    <n v="41800"/>
    <n v="4"/>
    <n v="50000"/>
    <n v="0.83599999999999997"/>
    <n v="-8200"/>
    <n v="-0.16400000000000001"/>
    <x v="0"/>
  </r>
  <r>
    <s v="E0263"/>
    <x v="1"/>
    <s v="HR Assistant"/>
    <s v="L1"/>
    <s v="Halifax"/>
    <n v="15"/>
    <n v="50000"/>
    <n v="4"/>
    <n v="50000"/>
    <n v="1"/>
    <n v="0"/>
    <n v="0"/>
    <x v="1"/>
  </r>
  <r>
    <s v="E0264"/>
    <x v="5"/>
    <s v="Senior Financial Analyst"/>
    <s v="L3"/>
    <s v="Halifax"/>
    <n v="5"/>
    <n v="91100"/>
    <n v="3"/>
    <n v="88000"/>
    <n v="1.0352272727272727"/>
    <n v="3100"/>
    <n v="3.5227272727272725E-2"/>
    <x v="1"/>
  </r>
  <r>
    <s v="E0265"/>
    <x v="2"/>
    <s v="Senior Policy Analyst"/>
    <s v="L3"/>
    <s v="Halifax"/>
    <n v="12"/>
    <n v="82200"/>
    <n v="4"/>
    <n v="90000"/>
    <n v="0.91333333333333333"/>
    <n v="-7800"/>
    <n v="-8.666666666666667E-2"/>
    <x v="2"/>
  </r>
  <r>
    <s v="E0266"/>
    <x v="3"/>
    <s v="Operations Manager"/>
    <s v="L3"/>
    <s v="Halifax"/>
    <n v="17"/>
    <n v="73700"/>
    <n v="4"/>
    <n v="85000"/>
    <n v="0.86705882352941177"/>
    <n v="-11300"/>
    <n v="-0.13294117647058823"/>
    <x v="2"/>
  </r>
  <r>
    <s v="E0267"/>
    <x v="3"/>
    <s v="Operations Assistant"/>
    <s v="L1"/>
    <s v="Halifax"/>
    <n v="11"/>
    <n v="51600"/>
    <n v="1"/>
    <n v="50000"/>
    <n v="1.032"/>
    <n v="1600"/>
    <n v="3.2000000000000001E-2"/>
    <x v="1"/>
  </r>
  <r>
    <s v="E0268"/>
    <x v="4"/>
    <s v="Administrative Assistant"/>
    <s v="L1"/>
    <s v="Halifax"/>
    <n v="16"/>
    <n v="38500"/>
    <n v="2"/>
    <n v="48000"/>
    <n v="0.80208333333333337"/>
    <n v="-9500"/>
    <n v="-0.19791666666666666"/>
    <x v="0"/>
  </r>
  <r>
    <s v="E0269"/>
    <x v="5"/>
    <s v="Finance Assistant"/>
    <s v="L1"/>
    <s v="Halifax"/>
    <n v="2"/>
    <n v="55600"/>
    <n v="2"/>
    <n v="52000"/>
    <n v="1.0692307692307692"/>
    <n v="3600"/>
    <n v="6.9230769230769235E-2"/>
    <x v="3"/>
  </r>
  <r>
    <s v="E0270"/>
    <x v="0"/>
    <s v="Senior Systems Analyst"/>
    <s v="L3"/>
    <s v="Halifax"/>
    <n v="4"/>
    <n v="90800"/>
    <n v="2"/>
    <n v="98000"/>
    <n v="0.92653061224489797"/>
    <n v="-7200"/>
    <n v="-7.3469387755102047E-2"/>
    <x v="2"/>
  </r>
  <r>
    <s v="E0271"/>
    <x v="0"/>
    <s v="Systems Analyst"/>
    <s v="L2"/>
    <s v="Halifax"/>
    <n v="3"/>
    <n v="71300"/>
    <n v="3"/>
    <n v="78000"/>
    <n v="0.91410256410256407"/>
    <n v="-6700"/>
    <n v="-8.5897435897435898E-2"/>
    <x v="2"/>
  </r>
  <r>
    <s v="E0272"/>
    <x v="5"/>
    <s v="Financial Analyst"/>
    <s v="L2"/>
    <s v="Halifax"/>
    <n v="0"/>
    <n v="67700"/>
    <n v="2"/>
    <n v="70000"/>
    <n v="0.96714285714285719"/>
    <n v="-2300"/>
    <n v="-3.2857142857142856E-2"/>
    <x v="1"/>
  </r>
  <r>
    <s v="E0273"/>
    <x v="1"/>
    <s v="HR Analyst"/>
    <s v="L2"/>
    <s v="Halifax"/>
    <n v="17"/>
    <n v="60600"/>
    <n v="5"/>
    <n v="68000"/>
    <n v="0.89117647058823535"/>
    <n v="-7400"/>
    <n v="-0.10882352941176471"/>
    <x v="2"/>
  </r>
  <r>
    <s v="E0274"/>
    <x v="1"/>
    <s v="HR Advisor"/>
    <s v="L3"/>
    <s v="Halifax"/>
    <n v="19"/>
    <n v="93600"/>
    <n v="4"/>
    <n v="82000"/>
    <n v="1.1414634146341462"/>
    <n v="11600"/>
    <n v="0.14146341463414633"/>
    <x v="3"/>
  </r>
  <r>
    <s v="E0275"/>
    <x v="2"/>
    <s v="Senior Policy Analyst"/>
    <s v="L3"/>
    <s v="Halifax"/>
    <n v="0"/>
    <n v="99600"/>
    <n v="3"/>
    <n v="90000"/>
    <n v="1.1066666666666667"/>
    <n v="9600"/>
    <n v="0.10666666666666667"/>
    <x v="3"/>
  </r>
  <r>
    <s v="E0276"/>
    <x v="5"/>
    <s v="Senior Financial Analyst"/>
    <s v="L3"/>
    <s v="Halifax"/>
    <n v="1"/>
    <n v="83000"/>
    <n v="3"/>
    <n v="88000"/>
    <n v="0.94318181818181823"/>
    <n v="-5000"/>
    <n v="-5.6818181818181816E-2"/>
    <x v="2"/>
  </r>
  <r>
    <s v="E0277"/>
    <x v="2"/>
    <s v="Research Assistant"/>
    <s v="L1"/>
    <s v="Halifax"/>
    <n v="2"/>
    <n v="51700"/>
    <n v="3"/>
    <n v="52000"/>
    <n v="0.99423076923076925"/>
    <n v="-300"/>
    <n v="-5.7692307692307696E-3"/>
    <x v="1"/>
  </r>
  <r>
    <s v="E0278"/>
    <x v="2"/>
    <s v="Senior Policy Analyst"/>
    <s v="L3"/>
    <s v="Halifax"/>
    <n v="19"/>
    <n v="81000"/>
    <n v="4"/>
    <n v="90000"/>
    <n v="0.9"/>
    <n v="-9000"/>
    <n v="-0.1"/>
    <x v="2"/>
  </r>
  <r>
    <s v="E0279"/>
    <x v="3"/>
    <s v="Operations Analyst"/>
    <s v="L2"/>
    <s v="Halifax"/>
    <n v="10"/>
    <n v="69000"/>
    <n v="3"/>
    <n v="68000"/>
    <n v="1.0147058823529411"/>
    <n v="1000"/>
    <n v="1.4705882352941176E-2"/>
    <x v="1"/>
  </r>
  <r>
    <s v="E0280"/>
    <x v="2"/>
    <s v="Senior Policy Analyst"/>
    <s v="L3"/>
    <s v="Halifax"/>
    <n v="19"/>
    <n v="84600"/>
    <n v="3"/>
    <n v="90000"/>
    <n v="0.94"/>
    <n v="-5400"/>
    <n v="-0.06"/>
    <x v="2"/>
  </r>
  <r>
    <s v="E0281"/>
    <x v="4"/>
    <s v="Administrative Assistant"/>
    <s v="L1"/>
    <s v="Halifax"/>
    <n v="2"/>
    <n v="51200"/>
    <n v="3"/>
    <n v="48000"/>
    <n v="1.0666666666666667"/>
    <n v="3200"/>
    <n v="6.6666666666666666E-2"/>
    <x v="3"/>
  </r>
  <r>
    <s v="E0282"/>
    <x v="5"/>
    <s v="Finance Assistant"/>
    <s v="L1"/>
    <s v="Halifax"/>
    <n v="2"/>
    <n v="44600"/>
    <n v="1"/>
    <n v="52000"/>
    <n v="0.85769230769230764"/>
    <n v="-7400"/>
    <n v="-0.1423076923076923"/>
    <x v="2"/>
  </r>
  <r>
    <s v="E0283"/>
    <x v="4"/>
    <s v="Administrative Coordinator"/>
    <s v="L2"/>
    <s v="Halifax"/>
    <n v="14"/>
    <n v="48000"/>
    <n v="3"/>
    <n v="58000"/>
    <n v="0.82758620689655171"/>
    <n v="-10000"/>
    <n v="-0.17241379310344829"/>
    <x v="0"/>
  </r>
  <r>
    <s v="E0284"/>
    <x v="4"/>
    <s v="Administrative Assistant"/>
    <s v="L1"/>
    <s v="Halifax"/>
    <n v="20"/>
    <n v="46300"/>
    <n v="3"/>
    <n v="48000"/>
    <n v="0.96458333333333335"/>
    <n v="-1700"/>
    <n v="-3.5416666666666666E-2"/>
    <x v="1"/>
  </r>
  <r>
    <s v="E0285"/>
    <x v="1"/>
    <s v="HR Analyst"/>
    <s v="L2"/>
    <s v="Halifax"/>
    <n v="17"/>
    <n v="58200"/>
    <n v="4"/>
    <n v="68000"/>
    <n v="0.85588235294117643"/>
    <n v="-9800"/>
    <n v="-0.14411764705882352"/>
    <x v="2"/>
  </r>
  <r>
    <s v="E0286"/>
    <x v="2"/>
    <s v="Policy Analyst"/>
    <s v="L2"/>
    <s v="Halifax"/>
    <n v="2"/>
    <n v="70700"/>
    <n v="3"/>
    <n v="72000"/>
    <n v="0.9819444444444444"/>
    <n v="-1300"/>
    <n v="-1.8055555555555554E-2"/>
    <x v="1"/>
  </r>
  <r>
    <s v="E0287"/>
    <x v="4"/>
    <s v="Administrative Coordinator"/>
    <s v="L2"/>
    <s v="Halifax"/>
    <n v="13"/>
    <n v="46800"/>
    <n v="3"/>
    <n v="58000"/>
    <n v="0.80689655172413788"/>
    <n v="-11200"/>
    <n v="-0.19310344827586207"/>
    <x v="0"/>
  </r>
  <r>
    <s v="E0288"/>
    <x v="4"/>
    <s v="Administrative Coordinator"/>
    <s v="L2"/>
    <s v="Halifax"/>
    <n v="15"/>
    <n v="58600"/>
    <n v="3"/>
    <n v="58000"/>
    <n v="1.0103448275862068"/>
    <n v="600"/>
    <n v="1.0344827586206896E-2"/>
    <x v="1"/>
  </r>
  <r>
    <s v="E0289"/>
    <x v="3"/>
    <s v="Operations Analyst"/>
    <s v="L2"/>
    <s v="Halifax"/>
    <n v="20"/>
    <n v="60300"/>
    <n v="3"/>
    <n v="68000"/>
    <n v="0.8867647058823529"/>
    <n v="-7700"/>
    <n v="-0.11323529411764706"/>
    <x v="2"/>
  </r>
  <r>
    <s v="E0290"/>
    <x v="2"/>
    <s v="Research Assistant"/>
    <s v="L1"/>
    <s v="Halifax"/>
    <n v="7"/>
    <n v="54600"/>
    <n v="3"/>
    <n v="52000"/>
    <n v="1.05"/>
    <n v="2600"/>
    <n v="0.05"/>
    <x v="1"/>
  </r>
  <r>
    <s v="E0291"/>
    <x v="3"/>
    <s v="Operations Analyst"/>
    <s v="L2"/>
    <s v="Halifax"/>
    <n v="13"/>
    <n v="70700"/>
    <n v="5"/>
    <n v="68000"/>
    <n v="1.0397058823529413"/>
    <n v="2700"/>
    <n v="3.9705882352941174E-2"/>
    <x v="1"/>
  </r>
  <r>
    <s v="E0292"/>
    <x v="4"/>
    <s v="Administrative Assistant"/>
    <s v="L1"/>
    <s v="Halifax"/>
    <n v="5"/>
    <n v="51700"/>
    <n v="5"/>
    <n v="48000"/>
    <n v="1.0770833333333334"/>
    <n v="3700"/>
    <n v="7.7083333333333337E-2"/>
    <x v="3"/>
  </r>
  <r>
    <s v="E0293"/>
    <x v="1"/>
    <s v="HR Analyst"/>
    <s v="L2"/>
    <s v="Halifax"/>
    <n v="18"/>
    <n v="64600"/>
    <n v="2"/>
    <n v="68000"/>
    <n v="0.95"/>
    <n v="-3400"/>
    <n v="-0.05"/>
    <x v="1"/>
  </r>
  <r>
    <s v="E0294"/>
    <x v="3"/>
    <s v="Operations Assistant"/>
    <s v="L1"/>
    <s v="Halifax"/>
    <n v="9"/>
    <n v="41700"/>
    <n v="4"/>
    <n v="50000"/>
    <n v="0.83399999999999996"/>
    <n v="-8300"/>
    <n v="-0.16600000000000001"/>
    <x v="0"/>
  </r>
  <r>
    <s v="E0295"/>
    <x v="5"/>
    <s v="Finance Assistant"/>
    <s v="L1"/>
    <s v="Halifax"/>
    <n v="1"/>
    <n v="47000"/>
    <n v="3"/>
    <n v="52000"/>
    <n v="0.90384615384615385"/>
    <n v="-5000"/>
    <n v="-9.6153846153846159E-2"/>
    <x v="2"/>
  </r>
  <r>
    <s v="E0296"/>
    <x v="5"/>
    <s v="Financial Analyst"/>
    <s v="L2"/>
    <s v="Halifax"/>
    <n v="6"/>
    <n v="74000"/>
    <n v="3"/>
    <n v="70000"/>
    <n v="1.0571428571428572"/>
    <n v="4000"/>
    <n v="5.7142857142857141E-2"/>
    <x v="3"/>
  </r>
  <r>
    <s v="E0297"/>
    <x v="5"/>
    <s v="Financial Analyst"/>
    <s v="L2"/>
    <s v="Halifax"/>
    <n v="14"/>
    <n v="76300"/>
    <n v="3"/>
    <n v="70000"/>
    <n v="1.0900000000000001"/>
    <n v="6300"/>
    <n v="0.09"/>
    <x v="3"/>
  </r>
  <r>
    <s v="E0298"/>
    <x v="3"/>
    <s v="Operations Assistant"/>
    <s v="L1"/>
    <s v="Halifax"/>
    <n v="5"/>
    <n v="52100"/>
    <n v="3"/>
    <n v="50000"/>
    <n v="1.042"/>
    <n v="2100"/>
    <n v="4.2000000000000003E-2"/>
    <x v="1"/>
  </r>
  <r>
    <s v="E0299"/>
    <x v="4"/>
    <s v="Administrative Coordinator"/>
    <s v="L2"/>
    <s v="Halifax"/>
    <n v="11"/>
    <n v="60300"/>
    <n v="4"/>
    <n v="58000"/>
    <n v="1.039655172413793"/>
    <n v="2300"/>
    <n v="3.9655172413793106E-2"/>
    <x v="1"/>
  </r>
  <r>
    <s v="E0300"/>
    <x v="3"/>
    <s v="Operations Manager"/>
    <s v="L3"/>
    <s v="Halifax"/>
    <n v="6"/>
    <n v="86100"/>
    <n v="4"/>
    <n v="85000"/>
    <n v="1.0129411764705882"/>
    <n v="1100"/>
    <n v="1.2941176470588235E-2"/>
    <x v="1"/>
  </r>
  <r>
    <s v="E0301"/>
    <x v="0"/>
    <s v="Systems Analyst"/>
    <s v="L2"/>
    <s v="Halifax"/>
    <n v="2"/>
    <n v="72400"/>
    <n v="1"/>
    <n v="78000"/>
    <n v="0.92820512820512824"/>
    <n v="-5600"/>
    <n v="-7.179487179487179E-2"/>
    <x v="2"/>
  </r>
  <r>
    <s v="E0302"/>
    <x v="5"/>
    <s v="Financial Analyst"/>
    <s v="L2"/>
    <s v="Halifax"/>
    <n v="11"/>
    <n v="58000"/>
    <n v="3"/>
    <n v="70000"/>
    <n v="0.82857142857142863"/>
    <n v="-12000"/>
    <n v="-0.17142857142857143"/>
    <x v="0"/>
  </r>
  <r>
    <s v="E0303"/>
    <x v="2"/>
    <s v="Research Assistant"/>
    <s v="L1"/>
    <s v="Halifax"/>
    <n v="12"/>
    <n v="47600"/>
    <n v="3"/>
    <n v="52000"/>
    <n v="0.91538461538461535"/>
    <n v="-4400"/>
    <n v="-8.461538461538462E-2"/>
    <x v="2"/>
  </r>
  <r>
    <s v="E0304"/>
    <x v="2"/>
    <s v="Research Assistant"/>
    <s v="L1"/>
    <s v="Halifax"/>
    <n v="20"/>
    <n v="38900"/>
    <n v="4"/>
    <n v="52000"/>
    <n v="0.74807692307692308"/>
    <n v="-13100"/>
    <n v="-0.25192307692307692"/>
    <x v="0"/>
  </r>
  <r>
    <s v="E0305"/>
    <x v="1"/>
    <s v="HR Analyst"/>
    <s v="L2"/>
    <s v="Halifax"/>
    <n v="5"/>
    <n v="64900"/>
    <n v="4"/>
    <n v="68000"/>
    <n v="0.9544117647058824"/>
    <n v="-3100"/>
    <n v="-4.5588235294117645E-2"/>
    <x v="1"/>
  </r>
  <r>
    <s v="E0306"/>
    <x v="5"/>
    <s v="Senior Financial Analyst"/>
    <s v="L3"/>
    <s v="Halifax"/>
    <n v="2"/>
    <n v="84700"/>
    <n v="3"/>
    <n v="88000"/>
    <n v="0.96250000000000002"/>
    <n v="-3300"/>
    <n v="-3.7499999999999999E-2"/>
    <x v="1"/>
  </r>
  <r>
    <s v="E0307"/>
    <x v="3"/>
    <s v="Operations Manager"/>
    <s v="L3"/>
    <s v="Halifax"/>
    <n v="14"/>
    <n v="90000"/>
    <n v="3"/>
    <n v="85000"/>
    <n v="1.0588235294117647"/>
    <n v="5000"/>
    <n v="5.8823529411764705E-2"/>
    <x v="3"/>
  </r>
  <r>
    <s v="E0308"/>
    <x v="5"/>
    <s v="Finance Assistant"/>
    <s v="L1"/>
    <s v="Halifax"/>
    <n v="19"/>
    <n v="48800"/>
    <n v="3"/>
    <n v="52000"/>
    <n v="0.93846153846153846"/>
    <n v="-3200"/>
    <n v="-6.1538461538461542E-2"/>
    <x v="2"/>
  </r>
  <r>
    <s v="E0309"/>
    <x v="0"/>
    <s v="Systems Analyst"/>
    <s v="L2"/>
    <s v="Halifax"/>
    <n v="19"/>
    <n v="81500"/>
    <n v="3"/>
    <n v="78000"/>
    <n v="1.0448717948717949"/>
    <n v="3500"/>
    <n v="4.4871794871794872E-2"/>
    <x v="1"/>
  </r>
  <r>
    <s v="E0310"/>
    <x v="4"/>
    <s v="Administrative Coordinator"/>
    <s v="L2"/>
    <s v="Halifax"/>
    <n v="20"/>
    <n v="72200"/>
    <n v="3"/>
    <n v="58000"/>
    <n v="1.2448275862068965"/>
    <n v="14200"/>
    <n v="0.24482758620689654"/>
    <x v="3"/>
  </r>
  <r>
    <s v="E0311"/>
    <x v="0"/>
    <s v="Systems Analyst"/>
    <s v="L2"/>
    <s v="Halifax"/>
    <n v="14"/>
    <n v="61400"/>
    <n v="5"/>
    <n v="78000"/>
    <n v="0.78717948717948716"/>
    <n v="-16600"/>
    <n v="-0.21282051282051281"/>
    <x v="0"/>
  </r>
  <r>
    <s v="E0312"/>
    <x v="1"/>
    <s v="HR Analyst"/>
    <s v="L2"/>
    <s v="Halifax"/>
    <n v="11"/>
    <n v="60700"/>
    <n v="3"/>
    <n v="68000"/>
    <n v="0.89264705882352946"/>
    <n v="-7300"/>
    <n v="-0.10735294117647058"/>
    <x v="2"/>
  </r>
  <r>
    <s v="E0313"/>
    <x v="5"/>
    <s v="Finance Assistant"/>
    <s v="L1"/>
    <s v="Halifax"/>
    <n v="14"/>
    <n v="46900"/>
    <n v="3"/>
    <n v="52000"/>
    <n v="0.90192307692307694"/>
    <n v="-5100"/>
    <n v="-9.8076923076923075E-2"/>
    <x v="2"/>
  </r>
  <r>
    <s v="E0314"/>
    <x v="3"/>
    <s v="Operations Manager"/>
    <s v="L3"/>
    <s v="Halifax"/>
    <n v="9"/>
    <n v="92600"/>
    <n v="3"/>
    <n v="85000"/>
    <n v="1.0894117647058823"/>
    <n v="7600"/>
    <n v="8.9411764705882357E-2"/>
    <x v="3"/>
  </r>
  <r>
    <s v="E0315"/>
    <x v="3"/>
    <s v="Operations Analyst"/>
    <s v="L2"/>
    <s v="Halifax"/>
    <n v="4"/>
    <n v="53400"/>
    <n v="4"/>
    <n v="68000"/>
    <n v="0.78529411764705881"/>
    <n v="-14600"/>
    <n v="-0.21470588235294116"/>
    <x v="0"/>
  </r>
  <r>
    <s v="E0316"/>
    <x v="0"/>
    <s v="IT Support Analyst"/>
    <s v="L1"/>
    <s v="Halifax"/>
    <n v="14"/>
    <n v="54800"/>
    <n v="3"/>
    <n v="58000"/>
    <n v="0.94482758620689655"/>
    <n v="-3200"/>
    <n v="-5.5172413793103448E-2"/>
    <x v="2"/>
  </r>
  <r>
    <s v="E0317"/>
    <x v="4"/>
    <s v="Administrative Coordinator"/>
    <s v="L2"/>
    <s v="Halifax"/>
    <n v="6"/>
    <n v="57300"/>
    <n v="3"/>
    <n v="58000"/>
    <n v="0.98793103448275865"/>
    <n v="-700"/>
    <n v="-1.2068965517241379E-2"/>
    <x v="1"/>
  </r>
  <r>
    <s v="E0318"/>
    <x v="5"/>
    <s v="Senior Financial Analyst"/>
    <s v="L3"/>
    <s v="Halifax"/>
    <n v="4"/>
    <n v="82800"/>
    <n v="1"/>
    <n v="88000"/>
    <n v="0.94090909090909092"/>
    <n v="-5200"/>
    <n v="-5.909090909090909E-2"/>
    <x v="2"/>
  </r>
  <r>
    <s v="E0319"/>
    <x v="4"/>
    <s v="Administrative Assistant"/>
    <s v="L1"/>
    <s v="Halifax"/>
    <n v="14"/>
    <n v="44900"/>
    <n v="3"/>
    <n v="48000"/>
    <n v="0.93541666666666667"/>
    <n v="-3100"/>
    <n v="-6.458333333333334E-2"/>
    <x v="2"/>
  </r>
  <r>
    <s v="E0320"/>
    <x v="5"/>
    <s v="Finance Assistant"/>
    <s v="L1"/>
    <s v="Halifax"/>
    <n v="9"/>
    <n v="54600"/>
    <n v="4"/>
    <n v="52000"/>
    <n v="1.05"/>
    <n v="2600"/>
    <n v="0.05"/>
    <x v="1"/>
  </r>
  <r>
    <s v="E0321"/>
    <x v="4"/>
    <s v="Administrative Assistant"/>
    <s v="L1"/>
    <s v="Halifax"/>
    <n v="4"/>
    <n v="52800"/>
    <n v="3"/>
    <n v="48000"/>
    <n v="1.1000000000000001"/>
    <n v="4800"/>
    <n v="0.1"/>
    <x v="3"/>
  </r>
  <r>
    <s v="E0322"/>
    <x v="3"/>
    <s v="Operations Assistant"/>
    <s v="L1"/>
    <s v="Halifax"/>
    <n v="10"/>
    <n v="51800"/>
    <n v="4"/>
    <n v="50000"/>
    <n v="1.036"/>
    <n v="1800"/>
    <n v="3.5999999999999997E-2"/>
    <x v="1"/>
  </r>
  <r>
    <s v="E0323"/>
    <x v="2"/>
    <s v="Research Assistant"/>
    <s v="L1"/>
    <s v="Halifax"/>
    <n v="16"/>
    <n v="51300"/>
    <n v="4"/>
    <n v="52000"/>
    <n v="0.98653846153846159"/>
    <n v="-700"/>
    <n v="-1.3461538461538462E-2"/>
    <x v="1"/>
  </r>
  <r>
    <s v="E0324"/>
    <x v="3"/>
    <s v="Operations Manager"/>
    <s v="L3"/>
    <s v="Halifax"/>
    <n v="19"/>
    <n v="91800"/>
    <n v="3"/>
    <n v="85000"/>
    <n v="1.08"/>
    <n v="6800"/>
    <n v="0.08"/>
    <x v="3"/>
  </r>
  <r>
    <s v="E0325"/>
    <x v="5"/>
    <s v="Finance Assistant"/>
    <s v="L1"/>
    <s v="Halifax"/>
    <n v="4"/>
    <n v="53200"/>
    <n v="5"/>
    <n v="52000"/>
    <n v="1.023076923076923"/>
    <n v="1200"/>
    <n v="2.3076923076923078E-2"/>
    <x v="1"/>
  </r>
  <r>
    <s v="E0326"/>
    <x v="2"/>
    <s v="Research Assistant"/>
    <s v="L1"/>
    <s v="Halifax"/>
    <n v="16"/>
    <n v="49000"/>
    <n v="3"/>
    <n v="52000"/>
    <n v="0.94230769230769229"/>
    <n v="-3000"/>
    <n v="-5.7692307692307696E-2"/>
    <x v="2"/>
  </r>
  <r>
    <s v="E0327"/>
    <x v="0"/>
    <s v="Systems Analyst"/>
    <s v="L2"/>
    <s v="Halifax"/>
    <n v="19"/>
    <n v="75200"/>
    <n v="5"/>
    <n v="78000"/>
    <n v="0.96410256410256412"/>
    <n v="-2800"/>
    <n v="-3.5897435897435895E-2"/>
    <x v="1"/>
  </r>
  <r>
    <s v="E0328"/>
    <x v="4"/>
    <s v="Office Manager"/>
    <s v="L3"/>
    <s v="Halifax"/>
    <n v="14"/>
    <n v="71700"/>
    <n v="3"/>
    <n v="72000"/>
    <n v="0.99583333333333335"/>
    <n v="-300"/>
    <n v="-4.1666666666666666E-3"/>
    <x v="1"/>
  </r>
  <r>
    <s v="E0329"/>
    <x v="0"/>
    <s v="Systems Analyst"/>
    <s v="L2"/>
    <s v="Halifax"/>
    <n v="19"/>
    <n v="74600"/>
    <n v="2"/>
    <n v="78000"/>
    <n v="0.95641025641025645"/>
    <n v="-3400"/>
    <n v="-4.3589743589743588E-2"/>
    <x v="1"/>
  </r>
  <r>
    <s v="E0330"/>
    <x v="5"/>
    <s v="Finance Assistant"/>
    <s v="L1"/>
    <s v="Halifax"/>
    <n v="0"/>
    <n v="50000"/>
    <n v="4"/>
    <n v="52000"/>
    <n v="0.96153846153846156"/>
    <n v="-2000"/>
    <n v="-3.8461538461538464E-2"/>
    <x v="1"/>
  </r>
  <r>
    <s v="E0331"/>
    <x v="2"/>
    <s v="Policy Analyst"/>
    <s v="L2"/>
    <s v="Halifax"/>
    <n v="4"/>
    <n v="74200"/>
    <n v="5"/>
    <n v="72000"/>
    <n v="1.0305555555555554"/>
    <n v="2200"/>
    <n v="3.0555555555555555E-2"/>
    <x v="1"/>
  </r>
  <r>
    <s v="E0332"/>
    <x v="5"/>
    <s v="Senior Financial Analyst"/>
    <s v="L3"/>
    <s v="Halifax"/>
    <n v="9"/>
    <n v="72900"/>
    <n v="1"/>
    <n v="88000"/>
    <n v="0.82840909090909087"/>
    <n v="-15100"/>
    <n v="-0.1715909090909091"/>
    <x v="0"/>
  </r>
  <r>
    <s v="E0333"/>
    <x v="5"/>
    <s v="Finance Assistant"/>
    <s v="L1"/>
    <s v="Halifax"/>
    <n v="7"/>
    <n v="47300"/>
    <n v="4"/>
    <n v="52000"/>
    <n v="0.9096153846153846"/>
    <n v="-4700"/>
    <n v="-9.0384615384615383E-2"/>
    <x v="2"/>
  </r>
  <r>
    <s v="E0334"/>
    <x v="4"/>
    <s v="Administrative Coordinator"/>
    <s v="L2"/>
    <s v="Halifax"/>
    <n v="3"/>
    <n v="56700"/>
    <n v="4"/>
    <n v="58000"/>
    <n v="0.97758620689655173"/>
    <n v="-1300"/>
    <n v="-2.2413793103448276E-2"/>
    <x v="1"/>
  </r>
  <r>
    <s v="E0335"/>
    <x v="1"/>
    <s v="HR Advisor"/>
    <s v="L3"/>
    <s v="Halifax"/>
    <n v="15"/>
    <n v="84800"/>
    <n v="4"/>
    <n v="82000"/>
    <n v="1.0341463414634147"/>
    <n v="2800"/>
    <n v="3.4146341463414637E-2"/>
    <x v="1"/>
  </r>
  <r>
    <s v="E0336"/>
    <x v="3"/>
    <s v="Operations Analyst"/>
    <s v="L2"/>
    <s v="Halifax"/>
    <n v="17"/>
    <n v="76900"/>
    <n v="3"/>
    <n v="68000"/>
    <n v="1.1308823529411764"/>
    <n v="8900"/>
    <n v="0.13088235294117648"/>
    <x v="3"/>
  </r>
  <r>
    <s v="E0337"/>
    <x v="4"/>
    <s v="Administrative Assistant"/>
    <s v="L1"/>
    <s v="Halifax"/>
    <n v="8"/>
    <n v="44000"/>
    <n v="5"/>
    <n v="48000"/>
    <n v="0.91666666666666663"/>
    <n v="-4000"/>
    <n v="-8.3333333333333329E-2"/>
    <x v="2"/>
  </r>
  <r>
    <s v="E0338"/>
    <x v="4"/>
    <s v="Office Manager"/>
    <s v="L3"/>
    <s v="Halifax"/>
    <n v="3"/>
    <n v="69900"/>
    <n v="4"/>
    <n v="72000"/>
    <n v="0.97083333333333333"/>
    <n v="-2100"/>
    <n v="-2.9166666666666667E-2"/>
    <x v="1"/>
  </r>
  <r>
    <s v="E0339"/>
    <x v="3"/>
    <s v="Operations Analyst"/>
    <s v="L2"/>
    <s v="Halifax"/>
    <n v="3"/>
    <n v="68700"/>
    <n v="4"/>
    <n v="68000"/>
    <n v="1.0102941176470588"/>
    <n v="700"/>
    <n v="1.0294117647058823E-2"/>
    <x v="1"/>
  </r>
  <r>
    <s v="E0340"/>
    <x v="4"/>
    <s v="Office Manager"/>
    <s v="L3"/>
    <s v="Halifax"/>
    <n v="18"/>
    <n v="73400"/>
    <n v="4"/>
    <n v="72000"/>
    <n v="1.0194444444444444"/>
    <n v="1400"/>
    <n v="1.9444444444444445E-2"/>
    <x v="1"/>
  </r>
  <r>
    <s v="E0341"/>
    <x v="4"/>
    <s v="Administrative Coordinator"/>
    <s v="L2"/>
    <s v="Halifax"/>
    <n v="6"/>
    <n v="48700"/>
    <n v="1"/>
    <n v="58000"/>
    <n v="0.83965517241379306"/>
    <n v="-9300"/>
    <n v="-0.16034482758620688"/>
    <x v="0"/>
  </r>
  <r>
    <s v="E0342"/>
    <x v="2"/>
    <s v="Senior Policy Analyst"/>
    <s v="L3"/>
    <s v="Halifax"/>
    <n v="0"/>
    <n v="72500"/>
    <n v="3"/>
    <n v="90000"/>
    <n v="0.80555555555555558"/>
    <n v="-17500"/>
    <n v="-0.19444444444444445"/>
    <x v="0"/>
  </r>
  <r>
    <s v="E0343"/>
    <x v="4"/>
    <s v="Office Manager"/>
    <s v="L3"/>
    <s v="Halifax"/>
    <n v="11"/>
    <n v="59800"/>
    <n v="1"/>
    <n v="72000"/>
    <n v="0.8305555555555556"/>
    <n v="-12200"/>
    <n v="-0.16944444444444445"/>
    <x v="0"/>
  </r>
  <r>
    <s v="E0344"/>
    <x v="3"/>
    <s v="Operations Analyst"/>
    <s v="L2"/>
    <s v="Halifax"/>
    <n v="1"/>
    <n v="66700"/>
    <n v="3"/>
    <n v="68000"/>
    <n v="0.98088235294117643"/>
    <n v="-1300"/>
    <n v="-1.9117647058823531E-2"/>
    <x v="1"/>
  </r>
  <r>
    <s v="E0345"/>
    <x v="1"/>
    <s v="HR Assistant"/>
    <s v="L1"/>
    <s v="Halifax"/>
    <n v="7"/>
    <n v="45200"/>
    <n v="3"/>
    <n v="50000"/>
    <n v="0.90400000000000003"/>
    <n v="-4800"/>
    <n v="-9.6000000000000002E-2"/>
    <x v="2"/>
  </r>
  <r>
    <s v="E0346"/>
    <x v="5"/>
    <s v="Finance Assistant"/>
    <s v="L1"/>
    <s v="Halifax"/>
    <n v="11"/>
    <n v="49300"/>
    <n v="2"/>
    <n v="52000"/>
    <n v="0.94807692307692304"/>
    <n v="-2700"/>
    <n v="-5.1923076923076926E-2"/>
    <x v="2"/>
  </r>
  <r>
    <s v="E0347"/>
    <x v="2"/>
    <s v="Senior Policy Analyst"/>
    <s v="L3"/>
    <s v="Halifax"/>
    <n v="11"/>
    <n v="94700"/>
    <n v="3"/>
    <n v="90000"/>
    <n v="1.0522222222222222"/>
    <n v="4700"/>
    <n v="5.2222222222222225E-2"/>
    <x v="3"/>
  </r>
  <r>
    <s v="E0348"/>
    <x v="3"/>
    <s v="Operations Analyst"/>
    <s v="L2"/>
    <s v="Halifax"/>
    <n v="11"/>
    <n v="49700"/>
    <n v="5"/>
    <n v="68000"/>
    <n v="0.73088235294117643"/>
    <n v="-18300"/>
    <n v="-0.26911764705882352"/>
    <x v="0"/>
  </r>
  <r>
    <s v="E0349"/>
    <x v="2"/>
    <s v="Research Assistant"/>
    <s v="L1"/>
    <s v="Halifax"/>
    <n v="10"/>
    <n v="53300"/>
    <n v="1"/>
    <n v="52000"/>
    <n v="1.0249999999999999"/>
    <n v="1300"/>
    <n v="2.5000000000000001E-2"/>
    <x v="1"/>
  </r>
  <r>
    <s v="E0350"/>
    <x v="4"/>
    <s v="Office Manager"/>
    <s v="L3"/>
    <s v="Halifax"/>
    <n v="18"/>
    <n v="70400"/>
    <n v="2"/>
    <n v="72000"/>
    <n v="0.97777777777777775"/>
    <n v="-1600"/>
    <n v="-2.2222222222222223E-2"/>
    <x v="1"/>
  </r>
  <r>
    <s v="E0351"/>
    <x v="2"/>
    <s v="Research Assistant"/>
    <s v="L1"/>
    <s v="Halifax"/>
    <n v="18"/>
    <n v="40600"/>
    <n v="2"/>
    <n v="52000"/>
    <n v="0.78076923076923077"/>
    <n v="-11400"/>
    <n v="-0.21923076923076923"/>
    <x v="0"/>
  </r>
  <r>
    <s v="E0352"/>
    <x v="0"/>
    <s v="Systems Analyst"/>
    <s v="L2"/>
    <s v="Halifax"/>
    <n v="14"/>
    <n v="73300"/>
    <n v="3"/>
    <n v="78000"/>
    <n v="0.93974358974358974"/>
    <n v="-4700"/>
    <n v="-6.0256410256410257E-2"/>
    <x v="2"/>
  </r>
  <r>
    <s v="E0353"/>
    <x v="5"/>
    <s v="Financial Analyst"/>
    <s v="L2"/>
    <s v="Halifax"/>
    <n v="17"/>
    <n v="59100"/>
    <n v="3"/>
    <n v="70000"/>
    <n v="0.84428571428571431"/>
    <n v="-10900"/>
    <n v="-0.15571428571428572"/>
    <x v="0"/>
  </r>
  <r>
    <s v="E0354"/>
    <x v="0"/>
    <s v="Systems Analyst"/>
    <s v="L2"/>
    <s v="Halifax"/>
    <n v="6"/>
    <n v="74600"/>
    <n v="3"/>
    <n v="78000"/>
    <n v="0.95641025641025645"/>
    <n v="-3400"/>
    <n v="-4.3589743589743588E-2"/>
    <x v="1"/>
  </r>
  <r>
    <s v="E0355"/>
    <x v="4"/>
    <s v="Administrative Coordinator"/>
    <s v="L2"/>
    <s v="Halifax"/>
    <n v="9"/>
    <n v="50300"/>
    <n v="5"/>
    <n v="58000"/>
    <n v="0.86724137931034484"/>
    <n v="-7700"/>
    <n v="-0.13275862068965516"/>
    <x v="2"/>
  </r>
  <r>
    <s v="E0356"/>
    <x v="3"/>
    <s v="Operations Assistant"/>
    <s v="L1"/>
    <s v="Halifax"/>
    <n v="11"/>
    <n v="46700"/>
    <n v="1"/>
    <n v="50000"/>
    <n v="0.93400000000000005"/>
    <n v="-3300"/>
    <n v="-6.6000000000000003E-2"/>
    <x v="2"/>
  </r>
  <r>
    <s v="E0357"/>
    <x v="5"/>
    <s v="Senior Financial Analyst"/>
    <s v="L3"/>
    <s v="Halifax"/>
    <n v="12"/>
    <n v="84000"/>
    <n v="3"/>
    <n v="88000"/>
    <n v="0.95454545454545459"/>
    <n v="-4000"/>
    <n v="-4.5454545454545456E-2"/>
    <x v="1"/>
  </r>
  <r>
    <s v="E0358"/>
    <x v="4"/>
    <s v="Administrative Coordinator"/>
    <s v="L2"/>
    <s v="Halifax"/>
    <n v="8"/>
    <n v="55300"/>
    <n v="3"/>
    <n v="58000"/>
    <n v="0.95344827586206893"/>
    <n v="-2700"/>
    <n v="-4.6551724137931037E-2"/>
    <x v="1"/>
  </r>
  <r>
    <s v="E0359"/>
    <x v="5"/>
    <s v="Finance Assistant"/>
    <s v="L1"/>
    <s v="Halifax"/>
    <n v="9"/>
    <n v="42900"/>
    <n v="5"/>
    <n v="52000"/>
    <n v="0.82499999999999996"/>
    <n v="-9100"/>
    <n v="-0.17499999999999999"/>
    <x v="0"/>
  </r>
  <r>
    <s v="E0360"/>
    <x v="2"/>
    <s v="Policy Analyst"/>
    <s v="L2"/>
    <s v="Halifax"/>
    <n v="18"/>
    <n v="63400"/>
    <n v="4"/>
    <n v="72000"/>
    <n v="0.88055555555555554"/>
    <n v="-8600"/>
    <n v="-0.11944444444444445"/>
    <x v="2"/>
  </r>
  <r>
    <s v="E0361"/>
    <x v="5"/>
    <s v="Finance Assistant"/>
    <s v="L1"/>
    <s v="Halifax"/>
    <n v="17"/>
    <n v="48100"/>
    <n v="4"/>
    <n v="52000"/>
    <n v="0.92500000000000004"/>
    <n v="-3900"/>
    <n v="-7.4999999999999997E-2"/>
    <x v="2"/>
  </r>
  <r>
    <s v="E0362"/>
    <x v="2"/>
    <s v="Senior Policy Analyst"/>
    <s v="L3"/>
    <s v="Halifax"/>
    <n v="16"/>
    <n v="75400"/>
    <n v="4"/>
    <n v="90000"/>
    <n v="0.83777777777777773"/>
    <n v="-14600"/>
    <n v="-0.16222222222222221"/>
    <x v="0"/>
  </r>
  <r>
    <s v="E0363"/>
    <x v="5"/>
    <s v="Finance Assistant"/>
    <s v="L1"/>
    <s v="Halifax"/>
    <n v="20"/>
    <n v="49600"/>
    <n v="2"/>
    <n v="52000"/>
    <n v="0.9538461538461539"/>
    <n v="-2400"/>
    <n v="-4.6153846153846156E-2"/>
    <x v="1"/>
  </r>
  <r>
    <s v="E0364"/>
    <x v="0"/>
    <s v="Senior Systems Analyst"/>
    <s v="L3"/>
    <s v="Halifax"/>
    <n v="10"/>
    <n v="91700"/>
    <n v="3"/>
    <n v="98000"/>
    <n v="0.93571428571428572"/>
    <n v="-6300"/>
    <n v="-6.4285714285714279E-2"/>
    <x v="2"/>
  </r>
  <r>
    <s v="E0365"/>
    <x v="3"/>
    <s v="Operations Assistant"/>
    <s v="L1"/>
    <s v="Halifax"/>
    <n v="1"/>
    <n v="55900"/>
    <n v="3"/>
    <n v="50000"/>
    <n v="1.1180000000000001"/>
    <n v="5900"/>
    <n v="0.11799999999999999"/>
    <x v="3"/>
  </r>
  <r>
    <s v="E0366"/>
    <x v="5"/>
    <s v="Financial Analyst"/>
    <s v="L2"/>
    <s v="Halifax"/>
    <n v="6"/>
    <n v="73000"/>
    <n v="4"/>
    <n v="70000"/>
    <n v="1.0428571428571429"/>
    <n v="3000"/>
    <n v="4.2857142857142858E-2"/>
    <x v="1"/>
  </r>
  <r>
    <s v="E0367"/>
    <x v="1"/>
    <s v="HR Advisor"/>
    <s v="L3"/>
    <s v="Halifax"/>
    <n v="13"/>
    <n v="82600"/>
    <n v="2"/>
    <n v="82000"/>
    <n v="1.0073170731707317"/>
    <n v="600"/>
    <n v="7.3170731707317077E-3"/>
    <x v="1"/>
  </r>
  <r>
    <s v="E0368"/>
    <x v="2"/>
    <s v="Policy Analyst"/>
    <s v="L2"/>
    <s v="Halifax"/>
    <n v="3"/>
    <n v="80100"/>
    <n v="2"/>
    <n v="72000"/>
    <n v="1.1125"/>
    <n v="8100"/>
    <n v="0.1125"/>
    <x v="3"/>
  </r>
  <r>
    <s v="E0369"/>
    <x v="4"/>
    <s v="Office Manager"/>
    <s v="L3"/>
    <s v="Halifax"/>
    <n v="8"/>
    <n v="63700"/>
    <n v="3"/>
    <n v="72000"/>
    <n v="0.88472222222222219"/>
    <n v="-8300"/>
    <n v="-0.11527777777777778"/>
    <x v="2"/>
  </r>
  <r>
    <s v="E0370"/>
    <x v="0"/>
    <s v="IT Support Analyst"/>
    <s v="L1"/>
    <s v="Halifax"/>
    <n v="16"/>
    <n v="48000"/>
    <n v="4"/>
    <n v="58000"/>
    <n v="0.82758620689655171"/>
    <n v="-10000"/>
    <n v="-0.17241379310344829"/>
    <x v="0"/>
  </r>
  <r>
    <s v="E0371"/>
    <x v="0"/>
    <s v="IT Support Analyst"/>
    <s v="L1"/>
    <s v="Halifax"/>
    <n v="11"/>
    <n v="61100"/>
    <n v="3"/>
    <n v="58000"/>
    <n v="1.0534482758620689"/>
    <n v="3100"/>
    <n v="5.3448275862068968E-2"/>
    <x v="3"/>
  </r>
  <r>
    <s v="E0372"/>
    <x v="5"/>
    <s v="Senior Financial Analyst"/>
    <s v="L3"/>
    <s v="Halifax"/>
    <n v="11"/>
    <n v="84600"/>
    <n v="3"/>
    <n v="88000"/>
    <n v="0.96136363636363631"/>
    <n v="-3400"/>
    <n v="-3.8636363636363635E-2"/>
    <x v="1"/>
  </r>
  <r>
    <s v="E0373"/>
    <x v="1"/>
    <s v="HR Analyst"/>
    <s v="L2"/>
    <s v="Halifax"/>
    <n v="5"/>
    <n v="54400"/>
    <n v="2"/>
    <n v="68000"/>
    <n v="0.8"/>
    <n v="-13600"/>
    <n v="-0.2"/>
    <x v="0"/>
  </r>
  <r>
    <s v="E0374"/>
    <x v="1"/>
    <s v="HR Analyst"/>
    <s v="L2"/>
    <s v="Halifax"/>
    <n v="19"/>
    <n v="55600"/>
    <n v="2"/>
    <n v="68000"/>
    <n v="0.81764705882352939"/>
    <n v="-12400"/>
    <n v="-0.18235294117647058"/>
    <x v="0"/>
  </r>
  <r>
    <s v="E0375"/>
    <x v="0"/>
    <s v="Systems Analyst"/>
    <s v="L2"/>
    <s v="Halifax"/>
    <n v="3"/>
    <n v="84300"/>
    <n v="5"/>
    <n v="78000"/>
    <n v="1.0807692307692307"/>
    <n v="6300"/>
    <n v="8.0769230769230774E-2"/>
    <x v="3"/>
  </r>
  <r>
    <s v="E0376"/>
    <x v="5"/>
    <s v="Financial Analyst"/>
    <s v="L2"/>
    <s v="Halifax"/>
    <n v="15"/>
    <n v="71400"/>
    <n v="1"/>
    <n v="70000"/>
    <n v="1.02"/>
    <n v="1400"/>
    <n v="0.02"/>
    <x v="1"/>
  </r>
  <r>
    <s v="E0377"/>
    <x v="0"/>
    <s v="Senior Systems Analyst"/>
    <s v="L3"/>
    <s v="Halifax"/>
    <n v="15"/>
    <n v="85700"/>
    <n v="3"/>
    <n v="98000"/>
    <n v="0.8744897959183674"/>
    <n v="-12300"/>
    <n v="-0.12551020408163266"/>
    <x v="2"/>
  </r>
  <r>
    <s v="E0378"/>
    <x v="3"/>
    <s v="Operations Assistant"/>
    <s v="L1"/>
    <s v="Halifax"/>
    <n v="19"/>
    <n v="51400"/>
    <n v="3"/>
    <n v="50000"/>
    <n v="1.028"/>
    <n v="1400"/>
    <n v="2.8000000000000001E-2"/>
    <x v="1"/>
  </r>
  <r>
    <s v="E0379"/>
    <x v="5"/>
    <s v="Senior Financial Analyst"/>
    <s v="L3"/>
    <s v="Halifax"/>
    <n v="0"/>
    <n v="72700"/>
    <n v="3"/>
    <n v="88000"/>
    <n v="0.82613636363636367"/>
    <n v="-15300"/>
    <n v="-0.17386363636363636"/>
    <x v="0"/>
  </r>
  <r>
    <s v="E0380"/>
    <x v="2"/>
    <s v="Policy Analyst"/>
    <s v="L2"/>
    <s v="Halifax"/>
    <n v="3"/>
    <n v="68600"/>
    <n v="3"/>
    <n v="72000"/>
    <n v="0.95277777777777772"/>
    <n v="-3400"/>
    <n v="-4.7222222222222221E-2"/>
    <x v="1"/>
  </r>
  <r>
    <s v="E0381"/>
    <x v="5"/>
    <s v="Finance Assistant"/>
    <s v="L1"/>
    <s v="Halifax"/>
    <n v="1"/>
    <n v="43100"/>
    <n v="3"/>
    <n v="52000"/>
    <n v="0.8288461538461539"/>
    <n v="-8900"/>
    <n v="-0.17115384615384616"/>
    <x v="0"/>
  </r>
  <r>
    <s v="E0382"/>
    <x v="4"/>
    <s v="Office Manager"/>
    <s v="L3"/>
    <s v="Halifax"/>
    <n v="2"/>
    <n v="63200"/>
    <n v="3"/>
    <n v="72000"/>
    <n v="0.87777777777777777"/>
    <n v="-8800"/>
    <n v="-0.12222222222222222"/>
    <x v="2"/>
  </r>
  <r>
    <s v="E0383"/>
    <x v="5"/>
    <s v="Financial Analyst"/>
    <s v="L2"/>
    <s v="Halifax"/>
    <n v="5"/>
    <n v="68300"/>
    <n v="5"/>
    <n v="70000"/>
    <n v="0.97571428571428576"/>
    <n v="-1700"/>
    <n v="-2.4285714285714285E-2"/>
    <x v="1"/>
  </r>
  <r>
    <s v="E0384"/>
    <x v="2"/>
    <s v="Policy Analyst"/>
    <s v="L2"/>
    <s v="Halifax"/>
    <n v="11"/>
    <n v="68400"/>
    <n v="5"/>
    <n v="72000"/>
    <n v="0.95"/>
    <n v="-3600"/>
    <n v="-0.05"/>
    <x v="1"/>
  </r>
  <r>
    <s v="E0385"/>
    <x v="5"/>
    <s v="Financial Analyst"/>
    <s v="L2"/>
    <s v="Halifax"/>
    <n v="17"/>
    <n v="69100"/>
    <n v="3"/>
    <n v="70000"/>
    <n v="0.9871428571428571"/>
    <n v="-900"/>
    <n v="-1.2857142857142857E-2"/>
    <x v="1"/>
  </r>
  <r>
    <s v="E0386"/>
    <x v="3"/>
    <s v="Operations Analyst"/>
    <s v="L2"/>
    <s v="Halifax"/>
    <n v="2"/>
    <n v="78200"/>
    <n v="4"/>
    <n v="68000"/>
    <n v="1.1499999999999999"/>
    <n v="10200"/>
    <n v="0.15"/>
    <x v="3"/>
  </r>
  <r>
    <s v="E0387"/>
    <x v="0"/>
    <s v="Systems Analyst"/>
    <s v="L2"/>
    <s v="Halifax"/>
    <n v="8"/>
    <n v="79700"/>
    <n v="3"/>
    <n v="78000"/>
    <n v="1.0217948717948717"/>
    <n v="1700"/>
    <n v="2.1794871794871794E-2"/>
    <x v="1"/>
  </r>
  <r>
    <s v="E0388"/>
    <x v="5"/>
    <s v="Finance Assistant"/>
    <s v="L1"/>
    <s v="Halifax"/>
    <n v="0"/>
    <n v="50000"/>
    <n v="5"/>
    <n v="52000"/>
    <n v="0.96153846153846156"/>
    <n v="-2000"/>
    <n v="-3.8461538461538464E-2"/>
    <x v="1"/>
  </r>
  <r>
    <s v="E0389"/>
    <x v="3"/>
    <s v="Operations Assistant"/>
    <s v="L1"/>
    <s v="Halifax"/>
    <n v="13"/>
    <n v="44900"/>
    <n v="4"/>
    <n v="50000"/>
    <n v="0.89800000000000002"/>
    <n v="-5100"/>
    <n v="-0.10199999999999999"/>
    <x v="2"/>
  </r>
  <r>
    <s v="E0390"/>
    <x v="1"/>
    <s v="HR Assistant"/>
    <s v="L1"/>
    <s v="Halifax"/>
    <n v="5"/>
    <n v="52200"/>
    <n v="2"/>
    <n v="50000"/>
    <n v="1.044"/>
    <n v="2200"/>
    <n v="4.3999999999999997E-2"/>
    <x v="1"/>
  </r>
  <r>
    <s v="E0391"/>
    <x v="2"/>
    <s v="Policy Analyst"/>
    <s v="L2"/>
    <s v="Halifax"/>
    <n v="7"/>
    <n v="57000"/>
    <n v="3"/>
    <n v="72000"/>
    <n v="0.79166666666666663"/>
    <n v="-15000"/>
    <n v="-0.20833333333333334"/>
    <x v="0"/>
  </r>
  <r>
    <s v="E0392"/>
    <x v="2"/>
    <s v="Research Assistant"/>
    <s v="L1"/>
    <s v="Halifax"/>
    <n v="13"/>
    <n v="49600"/>
    <n v="4"/>
    <n v="52000"/>
    <n v="0.9538461538461539"/>
    <n v="-2400"/>
    <n v="-4.6153846153846156E-2"/>
    <x v="1"/>
  </r>
  <r>
    <s v="E0393"/>
    <x v="2"/>
    <s v="Senior Policy Analyst"/>
    <s v="L3"/>
    <s v="Halifax"/>
    <n v="5"/>
    <n v="85900"/>
    <n v="1"/>
    <n v="90000"/>
    <n v="0.95444444444444443"/>
    <n v="-4100"/>
    <n v="-4.5555555555555557E-2"/>
    <x v="1"/>
  </r>
  <r>
    <s v="E0394"/>
    <x v="1"/>
    <s v="HR Advisor"/>
    <s v="L3"/>
    <s v="Halifax"/>
    <n v="18"/>
    <n v="76000"/>
    <n v="3"/>
    <n v="82000"/>
    <n v="0.92682926829268297"/>
    <n v="-6000"/>
    <n v="-7.3170731707317069E-2"/>
    <x v="2"/>
  </r>
  <r>
    <s v="E0395"/>
    <x v="5"/>
    <s v="Financial Analyst"/>
    <s v="L2"/>
    <s v="Halifax"/>
    <n v="1"/>
    <n v="71000"/>
    <n v="3"/>
    <n v="70000"/>
    <n v="1.0142857142857142"/>
    <n v="1000"/>
    <n v="1.4285714285714285E-2"/>
    <x v="1"/>
  </r>
  <r>
    <s v="E0396"/>
    <x v="4"/>
    <s v="Office Manager"/>
    <s v="L3"/>
    <s v="Halifax"/>
    <n v="18"/>
    <n v="78300"/>
    <n v="3"/>
    <n v="72000"/>
    <n v="1.0874999999999999"/>
    <n v="6300"/>
    <n v="8.7499999999999994E-2"/>
    <x v="3"/>
  </r>
  <r>
    <s v="E0397"/>
    <x v="2"/>
    <s v="Research Assistant"/>
    <s v="L1"/>
    <s v="Halifax"/>
    <n v="13"/>
    <n v="47400"/>
    <n v="2"/>
    <n v="52000"/>
    <n v="0.91153846153846152"/>
    <n v="-4600"/>
    <n v="-8.8461538461538466E-2"/>
    <x v="2"/>
  </r>
  <r>
    <s v="E0398"/>
    <x v="0"/>
    <s v="Senior Systems Analyst"/>
    <s v="L3"/>
    <s v="Halifax"/>
    <n v="7"/>
    <n v="94800"/>
    <n v="4"/>
    <n v="98000"/>
    <n v="0.96734693877551026"/>
    <n v="-3200"/>
    <n v="-3.2653061224489799E-2"/>
    <x v="1"/>
  </r>
  <r>
    <s v="E0399"/>
    <x v="0"/>
    <s v="IT Support Analyst"/>
    <s v="L1"/>
    <s v="Halifax"/>
    <n v="19"/>
    <n v="57800"/>
    <n v="4"/>
    <n v="58000"/>
    <n v="0.99655172413793103"/>
    <n v="-200"/>
    <n v="-3.4482758620689655E-3"/>
    <x v="1"/>
  </r>
  <r>
    <s v="E0400"/>
    <x v="2"/>
    <s v="Senior Policy Analyst"/>
    <s v="L3"/>
    <s v="Halifax"/>
    <n v="2"/>
    <n v="92100"/>
    <n v="3"/>
    <n v="90000"/>
    <n v="1.0233333333333334"/>
    <n v="2100"/>
    <n v="2.3333333333333334E-2"/>
    <x v="1"/>
  </r>
  <r>
    <s v="E0401"/>
    <x v="0"/>
    <s v="Systems Analyst"/>
    <s v="L2"/>
    <s v="Halifax"/>
    <n v="13"/>
    <n v="77400"/>
    <n v="3"/>
    <n v="78000"/>
    <n v="0.99230769230769234"/>
    <n v="-600"/>
    <n v="-7.6923076923076927E-3"/>
    <x v="1"/>
  </r>
  <r>
    <s v="E0402"/>
    <x v="5"/>
    <s v="Financial Analyst"/>
    <s v="L2"/>
    <s v="Halifax"/>
    <n v="20"/>
    <n v="65800"/>
    <n v="1"/>
    <n v="70000"/>
    <n v="0.94"/>
    <n v="-4200"/>
    <n v="-0.06"/>
    <x v="2"/>
  </r>
  <r>
    <s v="E0403"/>
    <x v="2"/>
    <s v="Policy Analyst"/>
    <s v="L2"/>
    <s v="Halifax"/>
    <n v="6"/>
    <n v="75100"/>
    <n v="3"/>
    <n v="72000"/>
    <n v="1.0430555555555556"/>
    <n v="3100"/>
    <n v="4.3055555555555555E-2"/>
    <x v="1"/>
  </r>
  <r>
    <s v="E0404"/>
    <x v="2"/>
    <s v="Research Assistant"/>
    <s v="L1"/>
    <s v="Halifax"/>
    <n v="20"/>
    <n v="46800"/>
    <n v="4"/>
    <n v="52000"/>
    <n v="0.9"/>
    <n v="-5200"/>
    <n v="-0.1"/>
    <x v="2"/>
  </r>
  <r>
    <s v="E0405"/>
    <x v="2"/>
    <s v="Research Assistant"/>
    <s v="L1"/>
    <s v="Halifax"/>
    <n v="2"/>
    <n v="49300"/>
    <n v="3"/>
    <n v="52000"/>
    <n v="0.94807692307692304"/>
    <n v="-2700"/>
    <n v="-5.1923076923076926E-2"/>
    <x v="2"/>
  </r>
  <r>
    <s v="E0406"/>
    <x v="2"/>
    <s v="Policy Analyst"/>
    <s v="L2"/>
    <s v="Halifax"/>
    <n v="3"/>
    <n v="84400"/>
    <n v="4"/>
    <n v="72000"/>
    <n v="1.1722222222222223"/>
    <n v="12400"/>
    <n v="0.17222222222222222"/>
    <x v="3"/>
  </r>
  <r>
    <s v="E0407"/>
    <x v="0"/>
    <s v="Systems Analyst"/>
    <s v="L2"/>
    <s v="Halifax"/>
    <n v="7"/>
    <n v="82000"/>
    <n v="4"/>
    <n v="78000"/>
    <n v="1.0512820512820513"/>
    <n v="4000"/>
    <n v="5.128205128205128E-2"/>
    <x v="3"/>
  </r>
  <r>
    <s v="E0408"/>
    <x v="5"/>
    <s v="Finance Assistant"/>
    <s v="L1"/>
    <s v="Halifax"/>
    <n v="9"/>
    <n v="51100"/>
    <n v="4"/>
    <n v="52000"/>
    <n v="0.98269230769230764"/>
    <n v="-900"/>
    <n v="-1.7307692307692309E-2"/>
    <x v="1"/>
  </r>
  <r>
    <s v="E0409"/>
    <x v="4"/>
    <s v="Administrative Assistant"/>
    <s v="L1"/>
    <s v="Halifax"/>
    <n v="8"/>
    <n v="47200"/>
    <n v="5"/>
    <n v="48000"/>
    <n v="0.98333333333333328"/>
    <n v="-800"/>
    <n v="-1.6666666666666666E-2"/>
    <x v="1"/>
  </r>
  <r>
    <s v="E0410"/>
    <x v="0"/>
    <s v="IT Support Analyst"/>
    <s v="L1"/>
    <s v="Halifax"/>
    <n v="10"/>
    <n v="54100"/>
    <n v="3"/>
    <n v="58000"/>
    <n v="0.9327586206896552"/>
    <n v="-3900"/>
    <n v="-6.7241379310344823E-2"/>
    <x v="2"/>
  </r>
  <r>
    <s v="E0411"/>
    <x v="1"/>
    <s v="HR Analyst"/>
    <s v="L2"/>
    <s v="Halifax"/>
    <n v="7"/>
    <n v="63800"/>
    <n v="3"/>
    <n v="68000"/>
    <n v="0.93823529411764706"/>
    <n v="-4200"/>
    <n v="-6.1764705882352944E-2"/>
    <x v="2"/>
  </r>
  <r>
    <s v="E0412"/>
    <x v="2"/>
    <s v="Senior Policy Analyst"/>
    <s v="L3"/>
    <s v="Halifax"/>
    <n v="4"/>
    <n v="94300"/>
    <n v="4"/>
    <n v="90000"/>
    <n v="1.0477777777777777"/>
    <n v="4300"/>
    <n v="4.777777777777778E-2"/>
    <x v="1"/>
  </r>
  <r>
    <s v="E0413"/>
    <x v="4"/>
    <s v="Office Manager"/>
    <s v="L3"/>
    <s v="Halifax"/>
    <n v="4"/>
    <n v="76300"/>
    <n v="1"/>
    <n v="72000"/>
    <n v="1.0597222222222222"/>
    <n v="4300"/>
    <n v="5.9722222222222225E-2"/>
    <x v="3"/>
  </r>
  <r>
    <s v="E0414"/>
    <x v="1"/>
    <s v="HR Assistant"/>
    <s v="L1"/>
    <s v="Halifax"/>
    <n v="4"/>
    <n v="50400"/>
    <n v="3"/>
    <n v="50000"/>
    <n v="1.008"/>
    <n v="400"/>
    <n v="8.0000000000000002E-3"/>
    <x v="1"/>
  </r>
  <r>
    <s v="E0415"/>
    <x v="5"/>
    <s v="Senior Financial Analyst"/>
    <s v="L3"/>
    <s v="Halifax"/>
    <n v="13"/>
    <n v="78200"/>
    <n v="5"/>
    <n v="88000"/>
    <n v="0.88863636363636367"/>
    <n v="-9800"/>
    <n v="-0.11136363636363636"/>
    <x v="2"/>
  </r>
  <r>
    <s v="E0416"/>
    <x v="5"/>
    <s v="Finance Assistant"/>
    <s v="L1"/>
    <s v="Halifax"/>
    <n v="4"/>
    <n v="55600"/>
    <n v="4"/>
    <n v="52000"/>
    <n v="1.0692307692307692"/>
    <n v="3600"/>
    <n v="6.9230769230769235E-2"/>
    <x v="3"/>
  </r>
  <r>
    <s v="E0417"/>
    <x v="5"/>
    <s v="Financial Analyst"/>
    <s v="L2"/>
    <s v="Halifax"/>
    <n v="14"/>
    <n v="70700"/>
    <n v="2"/>
    <n v="70000"/>
    <n v="1.01"/>
    <n v="700"/>
    <n v="0.01"/>
    <x v="1"/>
  </r>
  <r>
    <s v="E0418"/>
    <x v="5"/>
    <s v="Senior Financial Analyst"/>
    <s v="L3"/>
    <s v="Halifax"/>
    <n v="17"/>
    <n v="95100"/>
    <n v="1"/>
    <n v="88000"/>
    <n v="1.0806818181818181"/>
    <n v="7100"/>
    <n v="8.0681818181818188E-2"/>
    <x v="3"/>
  </r>
  <r>
    <s v="E0419"/>
    <x v="0"/>
    <s v="Systems Analyst"/>
    <s v="L2"/>
    <s v="Halifax"/>
    <n v="3"/>
    <n v="77700"/>
    <n v="4"/>
    <n v="78000"/>
    <n v="0.99615384615384617"/>
    <n v="-300"/>
    <n v="-3.8461538461538464E-3"/>
    <x v="1"/>
  </r>
  <r>
    <s v="E0420"/>
    <x v="3"/>
    <s v="Operations Manager"/>
    <s v="L3"/>
    <s v="Halifax"/>
    <n v="17"/>
    <n v="99200"/>
    <n v="3"/>
    <n v="85000"/>
    <n v="1.1670588235294117"/>
    <n v="14200"/>
    <n v="0.16705882352941176"/>
    <x v="3"/>
  </r>
  <r>
    <s v="E0421"/>
    <x v="0"/>
    <s v="Senior Systems Analyst"/>
    <s v="L3"/>
    <s v="Halifax"/>
    <n v="7"/>
    <n v="101200"/>
    <n v="2"/>
    <n v="98000"/>
    <n v="1.0326530612244897"/>
    <n v="3200"/>
    <n v="3.2653061224489799E-2"/>
    <x v="1"/>
  </r>
  <r>
    <s v="E0422"/>
    <x v="0"/>
    <s v="Systems Analyst"/>
    <s v="L2"/>
    <s v="Halifax"/>
    <n v="10"/>
    <n v="73900"/>
    <n v="1"/>
    <n v="78000"/>
    <n v="0.9474358974358974"/>
    <n v="-4100"/>
    <n v="-5.2564102564102565E-2"/>
    <x v="2"/>
  </r>
  <r>
    <s v="E0423"/>
    <x v="4"/>
    <s v="Administrative Coordinator"/>
    <s v="L2"/>
    <s v="Halifax"/>
    <n v="8"/>
    <n v="45000"/>
    <n v="3"/>
    <n v="58000"/>
    <n v="0.77586206896551724"/>
    <n v="-13000"/>
    <n v="-0.22413793103448276"/>
    <x v="0"/>
  </r>
  <r>
    <s v="E0424"/>
    <x v="4"/>
    <s v="Administrative Coordinator"/>
    <s v="L2"/>
    <s v="Halifax"/>
    <n v="19"/>
    <n v="43800"/>
    <n v="3"/>
    <n v="58000"/>
    <n v="0.7551724137931034"/>
    <n v="-14200"/>
    <n v="-0.24482758620689654"/>
    <x v="0"/>
  </r>
  <r>
    <s v="E0425"/>
    <x v="2"/>
    <s v="Senior Policy Analyst"/>
    <s v="L3"/>
    <s v="Halifax"/>
    <n v="13"/>
    <n v="92200"/>
    <n v="1"/>
    <n v="90000"/>
    <n v="1.0244444444444445"/>
    <n v="2200"/>
    <n v="2.4444444444444446E-2"/>
    <x v="1"/>
  </r>
  <r>
    <s v="E0426"/>
    <x v="0"/>
    <s v="IT Support Analyst"/>
    <s v="L1"/>
    <s v="Halifax"/>
    <n v="14"/>
    <n v="53000"/>
    <n v="3"/>
    <n v="58000"/>
    <n v="0.91379310344827591"/>
    <n v="-5000"/>
    <n v="-8.6206896551724144E-2"/>
    <x v="2"/>
  </r>
  <r>
    <s v="E0427"/>
    <x v="2"/>
    <s v="Policy Analyst"/>
    <s v="L2"/>
    <s v="Halifax"/>
    <n v="20"/>
    <n v="71100"/>
    <n v="5"/>
    <n v="72000"/>
    <n v="0.98750000000000004"/>
    <n v="-900"/>
    <n v="-1.2500000000000001E-2"/>
    <x v="1"/>
  </r>
  <r>
    <s v="E0428"/>
    <x v="0"/>
    <s v="Senior Systems Analyst"/>
    <s v="L3"/>
    <s v="Halifax"/>
    <n v="10"/>
    <n v="108800"/>
    <n v="3"/>
    <n v="98000"/>
    <n v="1.1102040816326531"/>
    <n v="10800"/>
    <n v="0.11020408163265306"/>
    <x v="3"/>
  </r>
  <r>
    <s v="E0429"/>
    <x v="0"/>
    <s v="IT Support Analyst"/>
    <s v="L1"/>
    <s v="Halifax"/>
    <n v="12"/>
    <n v="57400"/>
    <n v="3"/>
    <n v="58000"/>
    <n v="0.98965517241379308"/>
    <n v="-600"/>
    <n v="-1.0344827586206896E-2"/>
    <x v="1"/>
  </r>
  <r>
    <s v="E0430"/>
    <x v="1"/>
    <s v="HR Analyst"/>
    <s v="L2"/>
    <s v="Halifax"/>
    <n v="14"/>
    <n v="60200"/>
    <n v="3"/>
    <n v="68000"/>
    <n v="0.88529411764705879"/>
    <n v="-7800"/>
    <n v="-0.11470588235294117"/>
    <x v="2"/>
  </r>
  <r>
    <s v="E0431"/>
    <x v="0"/>
    <s v="IT Support Analyst"/>
    <s v="L1"/>
    <s v="Halifax"/>
    <n v="10"/>
    <n v="58900"/>
    <n v="4"/>
    <n v="58000"/>
    <n v="1.0155172413793103"/>
    <n v="900"/>
    <n v="1.5517241379310345E-2"/>
    <x v="1"/>
  </r>
  <r>
    <s v="E0432"/>
    <x v="3"/>
    <s v="Operations Manager"/>
    <s v="L3"/>
    <s v="Halifax"/>
    <n v="6"/>
    <n v="92900"/>
    <n v="3"/>
    <n v="85000"/>
    <n v="1.0929411764705883"/>
    <n v="7900"/>
    <n v="9.2941176470588235E-2"/>
    <x v="3"/>
  </r>
  <r>
    <s v="E0433"/>
    <x v="4"/>
    <s v="Administrative Assistant"/>
    <s v="L1"/>
    <s v="Halifax"/>
    <n v="14"/>
    <n v="52000"/>
    <n v="3"/>
    <n v="48000"/>
    <n v="1.0833333333333333"/>
    <n v="4000"/>
    <n v="8.3333333333333329E-2"/>
    <x v="3"/>
  </r>
  <r>
    <s v="E0434"/>
    <x v="0"/>
    <s v="IT Support Analyst"/>
    <s v="L1"/>
    <s v="Halifax"/>
    <n v="2"/>
    <n v="56500"/>
    <n v="5"/>
    <n v="58000"/>
    <n v="0.97413793103448276"/>
    <n v="-1500"/>
    <n v="-2.5862068965517241E-2"/>
    <x v="1"/>
  </r>
  <r>
    <s v="E0435"/>
    <x v="1"/>
    <s v="HR Analyst"/>
    <s v="L2"/>
    <s v="Halifax"/>
    <n v="1"/>
    <n v="76000"/>
    <n v="3"/>
    <n v="68000"/>
    <n v="1.1176470588235294"/>
    <n v="8000"/>
    <n v="0.11764705882352941"/>
    <x v="3"/>
  </r>
  <r>
    <s v="E0436"/>
    <x v="1"/>
    <s v="HR Advisor"/>
    <s v="L3"/>
    <s v="Halifax"/>
    <n v="1"/>
    <n v="81100"/>
    <n v="3"/>
    <n v="82000"/>
    <n v="0.98902439024390243"/>
    <n v="-900"/>
    <n v="-1.097560975609756E-2"/>
    <x v="1"/>
  </r>
  <r>
    <s v="E0437"/>
    <x v="2"/>
    <s v="Research Assistant"/>
    <s v="L1"/>
    <s v="Halifax"/>
    <n v="19"/>
    <n v="50600"/>
    <n v="3"/>
    <n v="52000"/>
    <n v="0.97307692307692306"/>
    <n v="-1400"/>
    <n v="-2.6923076923076925E-2"/>
    <x v="1"/>
  </r>
  <r>
    <s v="E0438"/>
    <x v="0"/>
    <s v="IT Support Analyst"/>
    <s v="L1"/>
    <s v="Halifax"/>
    <n v="13"/>
    <n v="56500"/>
    <n v="3"/>
    <n v="58000"/>
    <n v="0.97413793103448276"/>
    <n v="-1500"/>
    <n v="-2.5862068965517241E-2"/>
    <x v="1"/>
  </r>
  <r>
    <s v="E0439"/>
    <x v="5"/>
    <s v="Finance Assistant"/>
    <s v="L1"/>
    <s v="Halifax"/>
    <n v="19"/>
    <n v="47000"/>
    <n v="3"/>
    <n v="52000"/>
    <n v="0.90384615384615385"/>
    <n v="-5000"/>
    <n v="-9.6153846153846159E-2"/>
    <x v="2"/>
  </r>
  <r>
    <s v="E0440"/>
    <x v="1"/>
    <s v="HR Assistant"/>
    <s v="L1"/>
    <s v="Halifax"/>
    <n v="3"/>
    <n v="43400"/>
    <n v="3"/>
    <n v="50000"/>
    <n v="0.86799999999999999"/>
    <n v="-6600"/>
    <n v="-0.13200000000000001"/>
    <x v="2"/>
  </r>
  <r>
    <s v="E0441"/>
    <x v="0"/>
    <s v="Systems Analyst"/>
    <s v="L2"/>
    <s v="Halifax"/>
    <n v="2"/>
    <n v="71000"/>
    <n v="2"/>
    <n v="78000"/>
    <n v="0.91025641025641024"/>
    <n v="-7000"/>
    <n v="-8.9743589743589744E-2"/>
    <x v="2"/>
  </r>
  <r>
    <s v="E0442"/>
    <x v="2"/>
    <s v="Research Assistant"/>
    <s v="L1"/>
    <s v="Halifax"/>
    <n v="6"/>
    <n v="47300"/>
    <n v="3"/>
    <n v="52000"/>
    <n v="0.9096153846153846"/>
    <n v="-4700"/>
    <n v="-9.0384615384615383E-2"/>
    <x v="2"/>
  </r>
  <r>
    <s v="E0443"/>
    <x v="3"/>
    <s v="Operations Manager"/>
    <s v="L3"/>
    <s v="Halifax"/>
    <n v="4"/>
    <n v="96600"/>
    <n v="3"/>
    <n v="85000"/>
    <n v="1.1364705882352941"/>
    <n v="11600"/>
    <n v="0.13647058823529412"/>
    <x v="3"/>
  </r>
  <r>
    <s v="E0444"/>
    <x v="3"/>
    <s v="Operations Analyst"/>
    <s v="L2"/>
    <s v="Halifax"/>
    <n v="17"/>
    <n v="77400"/>
    <n v="3"/>
    <n v="68000"/>
    <n v="1.138235294117647"/>
    <n v="9400"/>
    <n v="0.13823529411764707"/>
    <x v="3"/>
  </r>
  <r>
    <s v="E0445"/>
    <x v="0"/>
    <s v="Senior Systems Analyst"/>
    <s v="L3"/>
    <s v="Halifax"/>
    <n v="16"/>
    <n v="97600"/>
    <n v="3"/>
    <n v="98000"/>
    <n v="0.99591836734693873"/>
    <n v="-400"/>
    <n v="-4.0816326530612249E-3"/>
    <x v="1"/>
  </r>
  <r>
    <s v="E0446"/>
    <x v="0"/>
    <s v="Systems Analyst"/>
    <s v="L2"/>
    <s v="Halifax"/>
    <n v="5"/>
    <n v="67700"/>
    <n v="3"/>
    <n v="78000"/>
    <n v="0.86794871794871797"/>
    <n v="-10300"/>
    <n v="-0.13205128205128205"/>
    <x v="2"/>
  </r>
  <r>
    <s v="E0447"/>
    <x v="0"/>
    <s v="Senior Systems Analyst"/>
    <s v="L3"/>
    <s v="Halifax"/>
    <n v="15"/>
    <n v="96600"/>
    <n v="3"/>
    <n v="98000"/>
    <n v="0.98571428571428577"/>
    <n v="-1400"/>
    <n v="-1.4285714285714285E-2"/>
    <x v="1"/>
  </r>
  <r>
    <s v="E0448"/>
    <x v="4"/>
    <s v="Administrative Coordinator"/>
    <s v="L2"/>
    <s v="Halifax"/>
    <n v="19"/>
    <n v="51700"/>
    <n v="2"/>
    <n v="58000"/>
    <n v="0.89137931034482754"/>
    <n v="-6300"/>
    <n v="-0.10862068965517241"/>
    <x v="2"/>
  </r>
  <r>
    <s v="E0449"/>
    <x v="0"/>
    <s v="Senior Systems Analyst"/>
    <s v="L3"/>
    <s v="Halifax"/>
    <n v="14"/>
    <n v="95000"/>
    <n v="5"/>
    <n v="98000"/>
    <n v="0.96938775510204078"/>
    <n v="-3000"/>
    <n v="-3.0612244897959183E-2"/>
    <x v="1"/>
  </r>
  <r>
    <s v="E0450"/>
    <x v="4"/>
    <s v="Administrative Coordinator"/>
    <s v="L2"/>
    <s v="Halifax"/>
    <n v="3"/>
    <n v="58400"/>
    <n v="3"/>
    <n v="58000"/>
    <n v="1.0068965517241379"/>
    <n v="400"/>
    <n v="6.8965517241379309E-3"/>
    <x v="1"/>
  </r>
  <r>
    <s v="E0451"/>
    <x v="1"/>
    <s v="HR Advisor"/>
    <s v="L3"/>
    <s v="Halifax"/>
    <n v="5"/>
    <n v="84900"/>
    <n v="5"/>
    <n v="82000"/>
    <n v="1.0353658536585366"/>
    <n v="2900"/>
    <n v="3.5365853658536582E-2"/>
    <x v="1"/>
  </r>
  <r>
    <s v="E0452"/>
    <x v="5"/>
    <s v="Finance Assistant"/>
    <s v="L1"/>
    <s v="Halifax"/>
    <n v="19"/>
    <n v="54000"/>
    <n v="3"/>
    <n v="52000"/>
    <n v="1.0384615384615385"/>
    <n v="2000"/>
    <n v="3.8461538461538464E-2"/>
    <x v="1"/>
  </r>
  <r>
    <s v="E0453"/>
    <x v="5"/>
    <s v="Senior Financial Analyst"/>
    <s v="L3"/>
    <s v="Halifax"/>
    <n v="12"/>
    <n v="98400"/>
    <n v="4"/>
    <n v="88000"/>
    <n v="1.1181818181818182"/>
    <n v="10400"/>
    <n v="0.11818181818181818"/>
    <x v="3"/>
  </r>
  <r>
    <s v="E0454"/>
    <x v="3"/>
    <s v="Operations Assistant"/>
    <s v="L1"/>
    <s v="Halifax"/>
    <n v="12"/>
    <n v="55900"/>
    <n v="4"/>
    <n v="50000"/>
    <n v="1.1180000000000001"/>
    <n v="5900"/>
    <n v="0.11799999999999999"/>
    <x v="3"/>
  </r>
  <r>
    <s v="E0455"/>
    <x v="1"/>
    <s v="HR Analyst"/>
    <s v="L2"/>
    <s v="Halifax"/>
    <n v="2"/>
    <n v="68100"/>
    <n v="3"/>
    <n v="68000"/>
    <n v="1.0014705882352941"/>
    <n v="100"/>
    <n v="1.4705882352941176E-3"/>
    <x v="1"/>
  </r>
  <r>
    <s v="E0456"/>
    <x v="5"/>
    <s v="Finance Assistant"/>
    <s v="L1"/>
    <s v="Halifax"/>
    <n v="3"/>
    <n v="46600"/>
    <n v="2"/>
    <n v="52000"/>
    <n v="0.89615384615384619"/>
    <n v="-5400"/>
    <n v="-0.10384615384615385"/>
    <x v="2"/>
  </r>
  <r>
    <s v="E0457"/>
    <x v="0"/>
    <s v="Systems Analyst"/>
    <s v="L2"/>
    <s v="Halifax"/>
    <n v="6"/>
    <n v="74900"/>
    <n v="5"/>
    <n v="78000"/>
    <n v="0.96025641025641029"/>
    <n v="-3100"/>
    <n v="-3.9743589743589741E-2"/>
    <x v="1"/>
  </r>
  <r>
    <s v="E0458"/>
    <x v="0"/>
    <s v="Systems Analyst"/>
    <s v="L2"/>
    <s v="Halifax"/>
    <n v="8"/>
    <n v="75200"/>
    <n v="3"/>
    <n v="78000"/>
    <n v="0.96410256410256412"/>
    <n v="-2800"/>
    <n v="-3.5897435897435895E-2"/>
    <x v="1"/>
  </r>
  <r>
    <s v="E0459"/>
    <x v="0"/>
    <s v="IT Support Analyst"/>
    <s v="L1"/>
    <s v="Halifax"/>
    <n v="19"/>
    <n v="54500"/>
    <n v="4"/>
    <n v="58000"/>
    <n v="0.93965517241379315"/>
    <n v="-3500"/>
    <n v="-6.0344827586206899E-2"/>
    <x v="2"/>
  </r>
  <r>
    <s v="E0460"/>
    <x v="0"/>
    <s v="Senior Systems Analyst"/>
    <s v="L3"/>
    <s v="Halifax"/>
    <n v="2"/>
    <n v="91100"/>
    <n v="3"/>
    <n v="98000"/>
    <n v="0.92959183673469392"/>
    <n v="-6900"/>
    <n v="-7.040816326530612E-2"/>
    <x v="2"/>
  </r>
  <r>
    <s v="E0461"/>
    <x v="3"/>
    <s v="Operations Analyst"/>
    <s v="L2"/>
    <s v="Halifax"/>
    <n v="15"/>
    <n v="72500"/>
    <n v="3"/>
    <n v="68000"/>
    <n v="1.0661764705882353"/>
    <n v="4500"/>
    <n v="6.6176470588235295E-2"/>
    <x v="3"/>
  </r>
  <r>
    <s v="E0462"/>
    <x v="3"/>
    <s v="Operations Assistant"/>
    <s v="L1"/>
    <s v="Halifax"/>
    <n v="12"/>
    <n v="46300"/>
    <n v="4"/>
    <n v="50000"/>
    <n v="0.92600000000000005"/>
    <n v="-3700"/>
    <n v="-7.3999999999999996E-2"/>
    <x v="2"/>
  </r>
  <r>
    <s v="E0463"/>
    <x v="1"/>
    <s v="HR Analyst"/>
    <s v="L2"/>
    <s v="Halifax"/>
    <n v="10"/>
    <n v="48100"/>
    <n v="2"/>
    <n v="68000"/>
    <n v="0.70735294117647063"/>
    <n v="-19900"/>
    <n v="-0.29264705882352943"/>
    <x v="0"/>
  </r>
  <r>
    <s v="E0464"/>
    <x v="3"/>
    <s v="Operations Manager"/>
    <s v="L3"/>
    <s v="Halifax"/>
    <n v="14"/>
    <n v="88300"/>
    <n v="1"/>
    <n v="85000"/>
    <n v="1.0388235294117647"/>
    <n v="3300"/>
    <n v="3.8823529411764708E-2"/>
    <x v="1"/>
  </r>
  <r>
    <s v="E0465"/>
    <x v="1"/>
    <s v="HR Advisor"/>
    <s v="L3"/>
    <s v="Halifax"/>
    <n v="15"/>
    <n v="77000"/>
    <n v="5"/>
    <n v="82000"/>
    <n v="0.93902439024390238"/>
    <n v="-5000"/>
    <n v="-6.097560975609756E-2"/>
    <x v="2"/>
  </r>
  <r>
    <s v="E0466"/>
    <x v="3"/>
    <s v="Operations Assistant"/>
    <s v="L1"/>
    <s v="Halifax"/>
    <n v="4"/>
    <n v="44500"/>
    <n v="5"/>
    <n v="50000"/>
    <n v="0.89"/>
    <n v="-5500"/>
    <n v="-0.11"/>
    <x v="2"/>
  </r>
  <r>
    <s v="E0467"/>
    <x v="5"/>
    <s v="Finance Assistant"/>
    <s v="L1"/>
    <s v="Halifax"/>
    <n v="2"/>
    <n v="46500"/>
    <n v="4"/>
    <n v="52000"/>
    <n v="0.89423076923076927"/>
    <n v="-5500"/>
    <n v="-0.10576923076923077"/>
    <x v="2"/>
  </r>
  <r>
    <s v="E0468"/>
    <x v="1"/>
    <s v="HR Assistant"/>
    <s v="L1"/>
    <s v="Halifax"/>
    <n v="20"/>
    <n v="42200"/>
    <n v="3"/>
    <n v="50000"/>
    <n v="0.84399999999999997"/>
    <n v="-7800"/>
    <n v="-0.156"/>
    <x v="0"/>
  </r>
  <r>
    <s v="E0469"/>
    <x v="4"/>
    <s v="Administrative Assistant"/>
    <s v="L1"/>
    <s v="Halifax"/>
    <n v="8"/>
    <n v="42700"/>
    <n v="1"/>
    <n v="48000"/>
    <n v="0.88958333333333328"/>
    <n v="-5300"/>
    <n v="-0.11041666666666666"/>
    <x v="2"/>
  </r>
  <r>
    <s v="E0470"/>
    <x v="4"/>
    <s v="Office Manager"/>
    <s v="L3"/>
    <s v="Halifax"/>
    <n v="0"/>
    <n v="80100"/>
    <n v="3"/>
    <n v="72000"/>
    <n v="1.1125"/>
    <n v="8100"/>
    <n v="0.1125"/>
    <x v="3"/>
  </r>
  <r>
    <s v="E0471"/>
    <x v="2"/>
    <s v="Research Assistant"/>
    <s v="L1"/>
    <s v="Halifax"/>
    <n v="1"/>
    <n v="56900"/>
    <n v="3"/>
    <n v="52000"/>
    <n v="1.0942307692307693"/>
    <n v="4900"/>
    <n v="9.4230769230769229E-2"/>
    <x v="3"/>
  </r>
  <r>
    <s v="E0472"/>
    <x v="4"/>
    <s v="Administrative Assistant"/>
    <s v="L1"/>
    <s v="Halifax"/>
    <n v="1"/>
    <n v="46600"/>
    <n v="2"/>
    <n v="48000"/>
    <n v="0.97083333333333333"/>
    <n v="-1400"/>
    <n v="-2.9166666666666667E-2"/>
    <x v="1"/>
  </r>
  <r>
    <s v="E0473"/>
    <x v="3"/>
    <s v="Operations Analyst"/>
    <s v="L2"/>
    <s v="Halifax"/>
    <n v="0"/>
    <n v="67300"/>
    <n v="3"/>
    <n v="68000"/>
    <n v="0.98970588235294121"/>
    <n v="-700"/>
    <n v="-1.0294117647058823E-2"/>
    <x v="1"/>
  </r>
  <r>
    <s v="E0474"/>
    <x v="4"/>
    <s v="Administrative Coordinator"/>
    <s v="L2"/>
    <s v="Halifax"/>
    <n v="9"/>
    <n v="50000"/>
    <n v="3"/>
    <n v="58000"/>
    <n v="0.86206896551724133"/>
    <n v="-8000"/>
    <n v="-0.13793103448275862"/>
    <x v="2"/>
  </r>
  <r>
    <s v="E0475"/>
    <x v="1"/>
    <s v="HR Assistant"/>
    <s v="L1"/>
    <s v="Halifax"/>
    <n v="6"/>
    <n v="47600"/>
    <n v="3"/>
    <n v="50000"/>
    <n v="0.95199999999999996"/>
    <n v="-2400"/>
    <n v="-4.8000000000000001E-2"/>
    <x v="1"/>
  </r>
  <r>
    <s v="E0476"/>
    <x v="0"/>
    <s v="Senior Systems Analyst"/>
    <s v="L3"/>
    <s v="Halifax"/>
    <n v="9"/>
    <n v="86000"/>
    <n v="5"/>
    <n v="98000"/>
    <n v="0.87755102040816324"/>
    <n v="-12000"/>
    <n v="-0.12244897959183673"/>
    <x v="2"/>
  </r>
  <r>
    <s v="E0477"/>
    <x v="1"/>
    <s v="HR Advisor"/>
    <s v="L3"/>
    <s v="Halifax"/>
    <n v="16"/>
    <n v="72100"/>
    <n v="3"/>
    <n v="82000"/>
    <n v="0.87926829268292683"/>
    <n v="-9900"/>
    <n v="-0.12073170731707317"/>
    <x v="2"/>
  </r>
  <r>
    <s v="E0478"/>
    <x v="0"/>
    <s v="Systems Analyst"/>
    <s v="L2"/>
    <s v="Halifax"/>
    <n v="19"/>
    <n v="70100"/>
    <n v="3"/>
    <n v="78000"/>
    <n v="0.89871794871794874"/>
    <n v="-7900"/>
    <n v="-0.10128205128205128"/>
    <x v="2"/>
  </r>
  <r>
    <s v="E0479"/>
    <x v="2"/>
    <s v="Senior Policy Analyst"/>
    <s v="L3"/>
    <s v="Halifax"/>
    <n v="19"/>
    <n v="82900"/>
    <n v="4"/>
    <n v="90000"/>
    <n v="0.9211111111111111"/>
    <n v="-7100"/>
    <n v="-7.8888888888888883E-2"/>
    <x v="2"/>
  </r>
  <r>
    <s v="E0480"/>
    <x v="5"/>
    <s v="Financial Analyst"/>
    <s v="L2"/>
    <s v="Halifax"/>
    <n v="16"/>
    <n v="55600"/>
    <n v="1"/>
    <n v="70000"/>
    <n v="0.79428571428571426"/>
    <n v="-14400"/>
    <n v="-0.20571428571428571"/>
    <x v="0"/>
  </r>
  <r>
    <s v="E0481"/>
    <x v="4"/>
    <s v="Administrative Coordinator"/>
    <s v="L2"/>
    <s v="Halifax"/>
    <n v="2"/>
    <n v="54100"/>
    <n v="5"/>
    <n v="58000"/>
    <n v="0.9327586206896552"/>
    <n v="-3900"/>
    <n v="-6.7241379310344823E-2"/>
    <x v="2"/>
  </r>
  <r>
    <s v="E0482"/>
    <x v="3"/>
    <s v="Operations Manager"/>
    <s v="L3"/>
    <s v="Halifax"/>
    <n v="19"/>
    <n v="107900"/>
    <n v="3"/>
    <n v="85000"/>
    <n v="1.2694117647058825"/>
    <n v="22900"/>
    <n v="0.26941176470588235"/>
    <x v="3"/>
  </r>
  <r>
    <s v="E0483"/>
    <x v="1"/>
    <s v="HR Analyst"/>
    <s v="L2"/>
    <s v="Halifax"/>
    <n v="10"/>
    <n v="52200"/>
    <n v="4"/>
    <n v="68000"/>
    <n v="0.76764705882352946"/>
    <n v="-15800"/>
    <n v="-0.2323529411764706"/>
    <x v="0"/>
  </r>
  <r>
    <s v="E0484"/>
    <x v="0"/>
    <s v="IT Support Analyst"/>
    <s v="L1"/>
    <s v="Halifax"/>
    <n v="3"/>
    <n v="56300"/>
    <n v="3"/>
    <n v="58000"/>
    <n v="0.97068965517241379"/>
    <n v="-1700"/>
    <n v="-2.9310344827586206E-2"/>
    <x v="1"/>
  </r>
  <r>
    <s v="E0485"/>
    <x v="4"/>
    <s v="Office Manager"/>
    <s v="L3"/>
    <s v="Halifax"/>
    <n v="14"/>
    <n v="59600"/>
    <n v="5"/>
    <n v="72000"/>
    <n v="0.82777777777777772"/>
    <n v="-12400"/>
    <n v="-0.17222222222222222"/>
    <x v="0"/>
  </r>
  <r>
    <s v="E0486"/>
    <x v="0"/>
    <s v="Systems Analyst"/>
    <s v="L2"/>
    <s v="Halifax"/>
    <n v="11"/>
    <n v="75000"/>
    <n v="3"/>
    <n v="78000"/>
    <n v="0.96153846153846156"/>
    <n v="-3000"/>
    <n v="-3.8461538461538464E-2"/>
    <x v="1"/>
  </r>
  <r>
    <s v="E0487"/>
    <x v="1"/>
    <s v="HR Assistant"/>
    <s v="L1"/>
    <s v="Halifax"/>
    <n v="2"/>
    <n v="47600"/>
    <n v="4"/>
    <n v="50000"/>
    <n v="0.95199999999999996"/>
    <n v="-2400"/>
    <n v="-4.8000000000000001E-2"/>
    <x v="1"/>
  </r>
  <r>
    <s v="E0488"/>
    <x v="0"/>
    <s v="IT Support Analyst"/>
    <s v="L1"/>
    <s v="Halifax"/>
    <n v="7"/>
    <n v="47700"/>
    <n v="4"/>
    <n v="58000"/>
    <n v="0.82241379310344831"/>
    <n v="-10300"/>
    <n v="-0.17758620689655172"/>
    <x v="0"/>
  </r>
  <r>
    <s v="E0489"/>
    <x v="0"/>
    <s v="Senior Systems Analyst"/>
    <s v="L3"/>
    <s v="Halifax"/>
    <n v="4"/>
    <n v="85900"/>
    <n v="3"/>
    <n v="98000"/>
    <n v="0.87653061224489792"/>
    <n v="-12100"/>
    <n v="-0.12346938775510204"/>
    <x v="2"/>
  </r>
  <r>
    <s v="E0490"/>
    <x v="4"/>
    <s v="Office Manager"/>
    <s v="L3"/>
    <s v="Halifax"/>
    <n v="13"/>
    <n v="69900"/>
    <n v="3"/>
    <n v="72000"/>
    <n v="0.97083333333333333"/>
    <n v="-2100"/>
    <n v="-2.9166666666666667E-2"/>
    <x v="1"/>
  </r>
  <r>
    <s v="E0491"/>
    <x v="4"/>
    <s v="Office Manager"/>
    <s v="L3"/>
    <s v="Halifax"/>
    <n v="12"/>
    <n v="76700"/>
    <n v="5"/>
    <n v="72000"/>
    <n v="1.0652777777777778"/>
    <n v="4700"/>
    <n v="6.5277777777777782E-2"/>
    <x v="3"/>
  </r>
  <r>
    <s v="E0492"/>
    <x v="0"/>
    <s v="Systems Analyst"/>
    <s v="L2"/>
    <s v="Halifax"/>
    <n v="4"/>
    <n v="85300"/>
    <n v="3"/>
    <n v="78000"/>
    <n v="1.0935897435897435"/>
    <n v="7300"/>
    <n v="9.358974358974359E-2"/>
    <x v="3"/>
  </r>
  <r>
    <s v="E0493"/>
    <x v="4"/>
    <s v="Administrative Assistant"/>
    <s v="L1"/>
    <s v="Halifax"/>
    <n v="19"/>
    <n v="46500"/>
    <n v="4"/>
    <n v="48000"/>
    <n v="0.96875"/>
    <n v="-1500"/>
    <n v="-3.125E-2"/>
    <x v="1"/>
  </r>
  <r>
    <s v="E0494"/>
    <x v="2"/>
    <s v="Research Assistant"/>
    <s v="L1"/>
    <s v="Halifax"/>
    <n v="8"/>
    <n v="47600"/>
    <n v="4"/>
    <n v="52000"/>
    <n v="0.91538461538461535"/>
    <n v="-4400"/>
    <n v="-8.461538461538462E-2"/>
    <x v="2"/>
  </r>
  <r>
    <s v="E0495"/>
    <x v="5"/>
    <s v="Financial Analyst"/>
    <s v="L2"/>
    <s v="Halifax"/>
    <n v="18"/>
    <n v="57200"/>
    <n v="4"/>
    <n v="70000"/>
    <n v="0.81714285714285717"/>
    <n v="-12800"/>
    <n v="-0.18285714285714286"/>
    <x v="0"/>
  </r>
  <r>
    <s v="E0496"/>
    <x v="5"/>
    <s v="Financial Analyst"/>
    <s v="L2"/>
    <s v="Halifax"/>
    <n v="2"/>
    <n v="74100"/>
    <n v="4"/>
    <n v="70000"/>
    <n v="1.0585714285714285"/>
    <n v="4100"/>
    <n v="5.8571428571428573E-2"/>
    <x v="3"/>
  </r>
  <r>
    <s v="E0497"/>
    <x v="3"/>
    <s v="Operations Analyst"/>
    <s v="L2"/>
    <s v="Halifax"/>
    <n v="15"/>
    <n v="60800"/>
    <n v="4"/>
    <n v="68000"/>
    <n v="0.89411764705882357"/>
    <n v="-7200"/>
    <n v="-0.10588235294117647"/>
    <x v="2"/>
  </r>
  <r>
    <s v="E0498"/>
    <x v="4"/>
    <s v="Office Manager"/>
    <s v="L3"/>
    <s v="Halifax"/>
    <n v="14"/>
    <n v="65400"/>
    <n v="3"/>
    <n v="72000"/>
    <n v="0.90833333333333333"/>
    <n v="-6600"/>
    <n v="-9.166666666666666E-2"/>
    <x v="2"/>
  </r>
  <r>
    <s v="E0499"/>
    <x v="1"/>
    <s v="HR Assistant"/>
    <s v="L1"/>
    <s v="Halifax"/>
    <n v="15"/>
    <n v="51500"/>
    <n v="3"/>
    <n v="50000"/>
    <n v="1.03"/>
    <n v="1500"/>
    <n v="0.03"/>
    <x v="1"/>
  </r>
  <r>
    <s v="E0500"/>
    <x v="3"/>
    <s v="Operations Manager"/>
    <s v="L3"/>
    <s v="Halifax"/>
    <n v="2"/>
    <n v="86000"/>
    <n v="1"/>
    <n v="85000"/>
    <n v="1.0117647058823529"/>
    <n v="1000"/>
    <n v="1.1764705882352941E-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0001"/>
    <x v="0"/>
    <s v="IT Support Analyst"/>
    <n v="48700"/>
    <n v="58000"/>
    <n v="0.83965517241379306"/>
    <n v="1461"/>
    <n v="50161"/>
    <n v="3500"/>
    <n v="52200"/>
    <n v="6400"/>
    <n v="55100"/>
    <n v="1"/>
    <n v="1"/>
  </r>
  <r>
    <s v="E0002"/>
    <x v="1"/>
    <s v="HR Advisor"/>
    <n v="80500"/>
    <n v="82000"/>
    <n v="0.98170731707317072"/>
    <n v="2415"/>
    <n v="82915"/>
    <n v="0"/>
    <n v="80500"/>
    <n v="0"/>
    <n v="80500"/>
    <n v="0"/>
    <n v="0"/>
  </r>
  <r>
    <s v="E0003"/>
    <x v="2"/>
    <s v="Senior Policy Analyst"/>
    <n v="81300"/>
    <n v="90000"/>
    <n v="0.90333333333333332"/>
    <n v="2439"/>
    <n v="83739"/>
    <n v="0"/>
    <n v="81300"/>
    <n v="4200"/>
    <n v="85500"/>
    <n v="0"/>
    <n v="1"/>
  </r>
  <r>
    <s v="E0004"/>
    <x v="0"/>
    <s v="IT Support Analyst"/>
    <n v="58200"/>
    <n v="58000"/>
    <n v="1.0034482758620689"/>
    <n v="1746"/>
    <n v="59946"/>
    <n v="0"/>
    <n v="58200"/>
    <n v="0"/>
    <n v="58200"/>
    <n v="0"/>
    <n v="0"/>
  </r>
  <r>
    <s v="E0005"/>
    <x v="3"/>
    <s v="Operations Assistant"/>
    <n v="35300"/>
    <n v="50000"/>
    <n v="0.70599999999999996"/>
    <n v="1059"/>
    <n v="36359"/>
    <n v="9700"/>
    <n v="45000"/>
    <n v="12200"/>
    <n v="47500"/>
    <n v="1"/>
    <n v="1"/>
  </r>
  <r>
    <s v="E0006"/>
    <x v="0"/>
    <s v="Senior Systems Analyst"/>
    <n v="99000"/>
    <n v="98000"/>
    <n v="1.010204081632653"/>
    <n v="2970"/>
    <n v="101970"/>
    <n v="0"/>
    <n v="99000"/>
    <n v="0"/>
    <n v="99000"/>
    <n v="0"/>
    <n v="0"/>
  </r>
  <r>
    <s v="E0007"/>
    <x v="0"/>
    <s v="Senior Systems Analyst"/>
    <n v="94300"/>
    <n v="98000"/>
    <n v="0.96224489795918366"/>
    <n v="2829"/>
    <n v="97129"/>
    <n v="0"/>
    <n v="94300"/>
    <n v="0"/>
    <n v="94300"/>
    <n v="0"/>
    <n v="0"/>
  </r>
  <r>
    <s v="E0008"/>
    <x v="2"/>
    <s v="Research Assistant"/>
    <n v="46700"/>
    <n v="52000"/>
    <n v="0.89807692307692311"/>
    <n v="1401"/>
    <n v="48101"/>
    <n v="100"/>
    <n v="46800"/>
    <n v="2700"/>
    <n v="49400"/>
    <n v="1"/>
    <n v="1"/>
  </r>
  <r>
    <s v="E0009"/>
    <x v="4"/>
    <s v="Administrative Coordinator"/>
    <n v="59600"/>
    <n v="58000"/>
    <n v="1.0275862068965518"/>
    <n v="1788"/>
    <n v="61388"/>
    <n v="0"/>
    <n v="59600"/>
    <n v="0"/>
    <n v="59600"/>
    <n v="0"/>
    <n v="0"/>
  </r>
  <r>
    <s v="E0010"/>
    <x v="0"/>
    <s v="IT Support Analyst"/>
    <n v="48700"/>
    <n v="58000"/>
    <n v="0.83965517241379306"/>
    <n v="1461"/>
    <n v="50161"/>
    <n v="3500"/>
    <n v="52200"/>
    <n v="6400"/>
    <n v="55100"/>
    <n v="1"/>
    <n v="1"/>
  </r>
  <r>
    <s v="E0011"/>
    <x v="3"/>
    <s v="Operations Assistant"/>
    <n v="45300"/>
    <n v="50000"/>
    <n v="0.90600000000000003"/>
    <n v="1359"/>
    <n v="46659"/>
    <n v="0"/>
    <n v="45300"/>
    <n v="2200"/>
    <n v="47500"/>
    <n v="0"/>
    <n v="1"/>
  </r>
  <r>
    <s v="E0012"/>
    <x v="3"/>
    <s v="Operations Analyst"/>
    <n v="75000"/>
    <n v="68000"/>
    <n v="1.1029411764705883"/>
    <n v="2250"/>
    <n v="77250"/>
    <n v="0"/>
    <n v="75000"/>
    <n v="0"/>
    <n v="75000"/>
    <n v="0"/>
    <n v="0"/>
  </r>
  <r>
    <s v="E0013"/>
    <x v="5"/>
    <s v="Financial Analyst"/>
    <n v="68000"/>
    <n v="70000"/>
    <n v="0.97142857142857142"/>
    <n v="2040"/>
    <n v="70040"/>
    <n v="0"/>
    <n v="68000"/>
    <n v="0"/>
    <n v="68000"/>
    <n v="0"/>
    <n v="0"/>
  </r>
  <r>
    <s v="E0014"/>
    <x v="3"/>
    <s v="Operations Manager"/>
    <n v="88200"/>
    <n v="85000"/>
    <n v="1.0376470588235294"/>
    <n v="2646"/>
    <n v="90846"/>
    <n v="0"/>
    <n v="88200"/>
    <n v="0"/>
    <n v="88200"/>
    <n v="0"/>
    <n v="0"/>
  </r>
  <r>
    <s v="E0015"/>
    <x v="2"/>
    <s v="Policy Analyst"/>
    <n v="58700"/>
    <n v="72000"/>
    <n v="0.81527777777777777"/>
    <n v="1761"/>
    <n v="60461"/>
    <n v="6100"/>
    <n v="64800"/>
    <n v="9700"/>
    <n v="68400"/>
    <n v="1"/>
    <n v="1"/>
  </r>
  <r>
    <s v="E0016"/>
    <x v="0"/>
    <s v="IT Support Analyst"/>
    <n v="50000"/>
    <n v="58000"/>
    <n v="0.86206896551724133"/>
    <n v="1500"/>
    <n v="51500"/>
    <n v="2200"/>
    <n v="52200"/>
    <n v="5100"/>
    <n v="55100"/>
    <n v="1"/>
    <n v="1"/>
  </r>
  <r>
    <s v="E0017"/>
    <x v="2"/>
    <s v="Research Assistant"/>
    <n v="41300"/>
    <n v="52000"/>
    <n v="0.79423076923076918"/>
    <n v="1239"/>
    <n v="42539"/>
    <n v="5500"/>
    <n v="46800"/>
    <n v="8100"/>
    <n v="49400"/>
    <n v="1"/>
    <n v="1"/>
  </r>
  <r>
    <s v="E0018"/>
    <x v="1"/>
    <s v="HR Advisor"/>
    <n v="71400"/>
    <n v="82000"/>
    <n v="0.87073170731707317"/>
    <n v="2142"/>
    <n v="73542"/>
    <n v="2400"/>
    <n v="73800"/>
    <n v="6500"/>
    <n v="77900"/>
    <n v="1"/>
    <n v="1"/>
  </r>
  <r>
    <s v="E0019"/>
    <x v="1"/>
    <s v="HR Assistant"/>
    <n v="50800"/>
    <n v="50000"/>
    <n v="1.016"/>
    <n v="1524"/>
    <n v="52324"/>
    <n v="0"/>
    <n v="50800"/>
    <n v="0"/>
    <n v="50800"/>
    <n v="0"/>
    <n v="0"/>
  </r>
  <r>
    <s v="E0020"/>
    <x v="4"/>
    <s v="Administrative Coordinator"/>
    <n v="56500"/>
    <n v="58000"/>
    <n v="0.97413793103448276"/>
    <n v="1695"/>
    <n v="58195"/>
    <n v="0"/>
    <n v="56500"/>
    <n v="0"/>
    <n v="56500"/>
    <n v="0"/>
    <n v="0"/>
  </r>
  <r>
    <s v="E0021"/>
    <x v="3"/>
    <s v="Operations Assistant"/>
    <n v="49800"/>
    <n v="50000"/>
    <n v="0.996"/>
    <n v="1494"/>
    <n v="51294"/>
    <n v="0"/>
    <n v="49800"/>
    <n v="0"/>
    <n v="49800"/>
    <n v="0"/>
    <n v="0"/>
  </r>
  <r>
    <s v="E0022"/>
    <x v="1"/>
    <s v="HR Assistant"/>
    <n v="39100"/>
    <n v="50000"/>
    <n v="0.78200000000000003"/>
    <n v="1173"/>
    <n v="40273"/>
    <n v="5900"/>
    <n v="45000"/>
    <n v="8400"/>
    <n v="47500"/>
    <n v="1"/>
    <n v="1"/>
  </r>
  <r>
    <s v="E0023"/>
    <x v="4"/>
    <s v="Administrative Assistant"/>
    <n v="33000"/>
    <n v="48000"/>
    <n v="0.6875"/>
    <n v="990"/>
    <n v="33990"/>
    <n v="10200"/>
    <n v="43200"/>
    <n v="12600"/>
    <n v="45600"/>
    <n v="1"/>
    <n v="1"/>
  </r>
  <r>
    <s v="E0024"/>
    <x v="5"/>
    <s v="Finance Assistant"/>
    <n v="53700"/>
    <n v="52000"/>
    <n v="1.0326923076923078"/>
    <n v="1611"/>
    <n v="55311"/>
    <n v="0"/>
    <n v="53700"/>
    <n v="0"/>
    <n v="53700"/>
    <n v="0"/>
    <n v="0"/>
  </r>
  <r>
    <s v="E0025"/>
    <x v="4"/>
    <s v="Administrative Assistant"/>
    <n v="43000"/>
    <n v="48000"/>
    <n v="0.89583333333333337"/>
    <n v="1290"/>
    <n v="44290"/>
    <n v="200"/>
    <n v="43200"/>
    <n v="2600"/>
    <n v="45600"/>
    <n v="1"/>
    <n v="1"/>
  </r>
  <r>
    <s v="E0026"/>
    <x v="1"/>
    <s v="HR Assistant"/>
    <n v="40000"/>
    <n v="50000"/>
    <n v="0.8"/>
    <n v="1200"/>
    <n v="41200"/>
    <n v="5000"/>
    <n v="45000"/>
    <n v="7500"/>
    <n v="47500"/>
    <n v="1"/>
    <n v="1"/>
  </r>
  <r>
    <s v="E0027"/>
    <x v="1"/>
    <s v="HR Advisor"/>
    <n v="72900"/>
    <n v="82000"/>
    <n v="0.88902439024390245"/>
    <n v="2187"/>
    <n v="75087"/>
    <n v="900"/>
    <n v="73800"/>
    <n v="5000"/>
    <n v="77900"/>
    <n v="1"/>
    <n v="1"/>
  </r>
  <r>
    <s v="E0028"/>
    <x v="0"/>
    <s v="Systems Analyst"/>
    <n v="71600"/>
    <n v="78000"/>
    <n v="0.91794871794871791"/>
    <n v="2148"/>
    <n v="73748"/>
    <n v="0"/>
    <n v="71600"/>
    <n v="2500"/>
    <n v="74100"/>
    <n v="0"/>
    <n v="1"/>
  </r>
  <r>
    <s v="E0029"/>
    <x v="0"/>
    <s v="IT Support Analyst"/>
    <n v="60000"/>
    <n v="58000"/>
    <n v="1.0344827586206897"/>
    <n v="1800"/>
    <n v="61800"/>
    <n v="0"/>
    <n v="60000"/>
    <n v="0"/>
    <n v="60000"/>
    <n v="0"/>
    <n v="0"/>
  </r>
  <r>
    <s v="E0030"/>
    <x v="4"/>
    <s v="Administrative Assistant"/>
    <n v="39300"/>
    <n v="48000"/>
    <n v="0.81874999999999998"/>
    <n v="1179"/>
    <n v="40479"/>
    <n v="3900"/>
    <n v="43200"/>
    <n v="6300"/>
    <n v="45600"/>
    <n v="1"/>
    <n v="1"/>
  </r>
  <r>
    <s v="E0031"/>
    <x v="3"/>
    <s v="Operations Manager"/>
    <n v="71400"/>
    <n v="85000"/>
    <n v="0.84"/>
    <n v="2142"/>
    <n v="73542"/>
    <n v="5100"/>
    <n v="76500"/>
    <n v="9350"/>
    <n v="80750"/>
    <n v="1"/>
    <n v="1"/>
  </r>
  <r>
    <s v="E0032"/>
    <x v="1"/>
    <s v="HR Analyst"/>
    <n v="70800"/>
    <n v="68000"/>
    <n v="1.0411764705882354"/>
    <n v="2124"/>
    <n v="72924"/>
    <n v="0"/>
    <n v="70800"/>
    <n v="0"/>
    <n v="70800"/>
    <n v="0"/>
    <n v="0"/>
  </r>
  <r>
    <s v="E0033"/>
    <x v="3"/>
    <s v="Operations Assistant"/>
    <n v="52900"/>
    <n v="50000"/>
    <n v="1.0580000000000001"/>
    <n v="1587"/>
    <n v="54487"/>
    <n v="0"/>
    <n v="52900"/>
    <n v="0"/>
    <n v="52900"/>
    <n v="0"/>
    <n v="0"/>
  </r>
  <r>
    <s v="E0034"/>
    <x v="2"/>
    <s v="Research Assistant"/>
    <n v="54600"/>
    <n v="52000"/>
    <n v="1.05"/>
    <n v="1638"/>
    <n v="56238"/>
    <n v="0"/>
    <n v="54600"/>
    <n v="0"/>
    <n v="54600"/>
    <n v="0"/>
    <n v="0"/>
  </r>
  <r>
    <s v="E0035"/>
    <x v="5"/>
    <s v="Financial Analyst"/>
    <n v="76500"/>
    <n v="70000"/>
    <n v="1.0928571428571427"/>
    <n v="2295"/>
    <n v="78795"/>
    <n v="0"/>
    <n v="76500"/>
    <n v="0"/>
    <n v="76500"/>
    <n v="0"/>
    <n v="0"/>
  </r>
  <r>
    <s v="E0036"/>
    <x v="2"/>
    <s v="Policy Analyst"/>
    <n v="76100"/>
    <n v="72000"/>
    <n v="1.0569444444444445"/>
    <n v="2283"/>
    <n v="78383"/>
    <n v="0"/>
    <n v="76100"/>
    <n v="0"/>
    <n v="76100"/>
    <n v="0"/>
    <n v="0"/>
  </r>
  <r>
    <s v="E0037"/>
    <x v="0"/>
    <s v="Senior Systems Analyst"/>
    <n v="100200"/>
    <n v="98000"/>
    <n v="1.0224489795918368"/>
    <n v="3006"/>
    <n v="103206"/>
    <n v="0"/>
    <n v="100200"/>
    <n v="0"/>
    <n v="100200"/>
    <n v="0"/>
    <n v="0"/>
  </r>
  <r>
    <s v="E0038"/>
    <x v="2"/>
    <s v="Policy Analyst"/>
    <n v="63900"/>
    <n v="72000"/>
    <n v="0.88749999999999996"/>
    <n v="1917"/>
    <n v="65817"/>
    <n v="900"/>
    <n v="64800"/>
    <n v="4500"/>
    <n v="68400"/>
    <n v="1"/>
    <n v="1"/>
  </r>
  <r>
    <s v="E0039"/>
    <x v="4"/>
    <s v="Administrative Assistant"/>
    <n v="43600"/>
    <n v="48000"/>
    <n v="0.90833333333333333"/>
    <n v="1308"/>
    <n v="44908"/>
    <n v="0"/>
    <n v="43600"/>
    <n v="2000"/>
    <n v="45600"/>
    <n v="0"/>
    <n v="1"/>
  </r>
  <r>
    <s v="E0040"/>
    <x v="0"/>
    <s v="Senior Systems Analyst"/>
    <n v="101500"/>
    <n v="98000"/>
    <n v="1.0357142857142858"/>
    <n v="3045"/>
    <n v="104545"/>
    <n v="0"/>
    <n v="101500"/>
    <n v="0"/>
    <n v="101500"/>
    <n v="0"/>
    <n v="0"/>
  </r>
  <r>
    <s v="E0041"/>
    <x v="0"/>
    <s v="Senior Systems Analyst"/>
    <n v="97300"/>
    <n v="98000"/>
    <n v="0.99285714285714288"/>
    <n v="2919"/>
    <n v="100219"/>
    <n v="0"/>
    <n v="97300"/>
    <n v="0"/>
    <n v="97300"/>
    <n v="0"/>
    <n v="0"/>
  </r>
  <r>
    <s v="E0042"/>
    <x v="4"/>
    <s v="Office Manager"/>
    <n v="50600"/>
    <n v="72000"/>
    <n v="0.70277777777777772"/>
    <n v="1518"/>
    <n v="52118"/>
    <n v="14200"/>
    <n v="64800"/>
    <n v="17800"/>
    <n v="68400"/>
    <n v="1"/>
    <n v="1"/>
  </r>
  <r>
    <s v="E0043"/>
    <x v="3"/>
    <s v="Operations Analyst"/>
    <n v="53000"/>
    <n v="68000"/>
    <n v="0.77941176470588236"/>
    <n v="1590"/>
    <n v="54590"/>
    <n v="8200"/>
    <n v="61200"/>
    <n v="11600"/>
    <n v="64600"/>
    <n v="1"/>
    <n v="1"/>
  </r>
  <r>
    <s v="E0044"/>
    <x v="4"/>
    <s v="Administrative Coordinator"/>
    <n v="55800"/>
    <n v="58000"/>
    <n v="0.96206896551724141"/>
    <n v="1674"/>
    <n v="57474"/>
    <n v="0"/>
    <n v="55800"/>
    <n v="0"/>
    <n v="55800"/>
    <n v="0"/>
    <n v="0"/>
  </r>
  <r>
    <s v="E0045"/>
    <x v="1"/>
    <s v="HR Advisor"/>
    <n v="84600"/>
    <n v="82000"/>
    <n v="1.0317073170731708"/>
    <n v="2538"/>
    <n v="87138"/>
    <n v="0"/>
    <n v="84600"/>
    <n v="0"/>
    <n v="84600"/>
    <n v="0"/>
    <n v="0"/>
  </r>
  <r>
    <s v="E0046"/>
    <x v="0"/>
    <s v="Systems Analyst"/>
    <n v="77800"/>
    <n v="78000"/>
    <n v="0.99743589743589745"/>
    <n v="2334"/>
    <n v="80134"/>
    <n v="0"/>
    <n v="77800"/>
    <n v="0"/>
    <n v="77800"/>
    <n v="0"/>
    <n v="0"/>
  </r>
  <r>
    <s v="E0047"/>
    <x v="1"/>
    <s v="HR Assistant"/>
    <n v="51800"/>
    <n v="50000"/>
    <n v="1.036"/>
    <n v="1554"/>
    <n v="53354"/>
    <n v="0"/>
    <n v="51800"/>
    <n v="0"/>
    <n v="51800"/>
    <n v="0"/>
    <n v="0"/>
  </r>
  <r>
    <s v="E0048"/>
    <x v="3"/>
    <s v="Operations Assistant"/>
    <n v="56400"/>
    <n v="50000"/>
    <n v="1.1279999999999999"/>
    <n v="1692"/>
    <n v="58092"/>
    <n v="0"/>
    <n v="56400"/>
    <n v="0"/>
    <n v="56400"/>
    <n v="0"/>
    <n v="0"/>
  </r>
  <r>
    <s v="E0049"/>
    <x v="5"/>
    <s v="Financial Analyst"/>
    <n v="67600"/>
    <n v="70000"/>
    <n v="0.96571428571428575"/>
    <n v="2028"/>
    <n v="69628"/>
    <n v="0"/>
    <n v="67600"/>
    <n v="0"/>
    <n v="67600"/>
    <n v="0"/>
    <n v="0"/>
  </r>
  <r>
    <s v="E0050"/>
    <x v="0"/>
    <s v="IT Support Analyst"/>
    <n v="55000"/>
    <n v="58000"/>
    <n v="0.94827586206896552"/>
    <n v="1650"/>
    <n v="56650"/>
    <n v="0"/>
    <n v="55000"/>
    <n v="100"/>
    <n v="55100"/>
    <n v="0"/>
    <n v="1"/>
  </r>
  <r>
    <s v="E0051"/>
    <x v="2"/>
    <s v="Senior Policy Analyst"/>
    <n v="77700"/>
    <n v="90000"/>
    <n v="0.86333333333333329"/>
    <n v="2331"/>
    <n v="80031"/>
    <n v="3300"/>
    <n v="81000"/>
    <n v="7800"/>
    <n v="85500"/>
    <n v="1"/>
    <n v="1"/>
  </r>
  <r>
    <s v="E0052"/>
    <x v="1"/>
    <s v="HR Analyst"/>
    <n v="65600"/>
    <n v="68000"/>
    <n v="0.96470588235294119"/>
    <n v="1968"/>
    <n v="67568"/>
    <n v="0"/>
    <n v="65600"/>
    <n v="0"/>
    <n v="65600"/>
    <n v="0"/>
    <n v="0"/>
  </r>
  <r>
    <s v="E0053"/>
    <x v="3"/>
    <s v="Operations Assistant"/>
    <n v="53500"/>
    <n v="50000"/>
    <n v="1.07"/>
    <n v="1605"/>
    <n v="55105"/>
    <n v="0"/>
    <n v="53500"/>
    <n v="0"/>
    <n v="53500"/>
    <n v="0"/>
    <n v="0"/>
  </r>
  <r>
    <s v="E0054"/>
    <x v="3"/>
    <s v="Operations Assistant"/>
    <n v="50200"/>
    <n v="50000"/>
    <n v="1.004"/>
    <n v="1506"/>
    <n v="51706"/>
    <n v="0"/>
    <n v="50200"/>
    <n v="0"/>
    <n v="50200"/>
    <n v="0"/>
    <n v="0"/>
  </r>
  <r>
    <s v="E0055"/>
    <x v="2"/>
    <s v="Research Assistant"/>
    <n v="49600"/>
    <n v="52000"/>
    <n v="0.9538461538461539"/>
    <n v="1488"/>
    <n v="51088"/>
    <n v="0"/>
    <n v="49600"/>
    <n v="0"/>
    <n v="49600"/>
    <n v="0"/>
    <n v="0"/>
  </r>
  <r>
    <s v="E0056"/>
    <x v="4"/>
    <s v="Administrative Coordinator"/>
    <n v="54300"/>
    <n v="58000"/>
    <n v="0.93620689655172418"/>
    <n v="1629"/>
    <n v="55929"/>
    <n v="0"/>
    <n v="54300"/>
    <n v="800"/>
    <n v="55100"/>
    <n v="0"/>
    <n v="1"/>
  </r>
  <r>
    <s v="E0057"/>
    <x v="1"/>
    <s v="HR Assistant"/>
    <n v="49900"/>
    <n v="50000"/>
    <n v="0.998"/>
    <n v="1497"/>
    <n v="51397"/>
    <n v="0"/>
    <n v="49900"/>
    <n v="0"/>
    <n v="49900"/>
    <n v="0"/>
    <n v="0"/>
  </r>
  <r>
    <s v="E0058"/>
    <x v="1"/>
    <s v="HR Assistant"/>
    <n v="47100"/>
    <n v="50000"/>
    <n v="0.94199999999999995"/>
    <n v="1413"/>
    <n v="48513"/>
    <n v="0"/>
    <n v="47100"/>
    <n v="400"/>
    <n v="47500"/>
    <n v="0"/>
    <n v="1"/>
  </r>
  <r>
    <s v="E0059"/>
    <x v="2"/>
    <s v="Senior Policy Analyst"/>
    <n v="87400"/>
    <n v="90000"/>
    <n v="0.97111111111111115"/>
    <n v="2622"/>
    <n v="90022"/>
    <n v="0"/>
    <n v="87400"/>
    <n v="0"/>
    <n v="87400"/>
    <n v="0"/>
    <n v="0"/>
  </r>
  <r>
    <s v="E0060"/>
    <x v="3"/>
    <s v="Operations Analyst"/>
    <n v="56100"/>
    <n v="68000"/>
    <n v="0.82499999999999996"/>
    <n v="1683"/>
    <n v="57783"/>
    <n v="5100"/>
    <n v="61200"/>
    <n v="8500"/>
    <n v="64600"/>
    <n v="1"/>
    <n v="1"/>
  </r>
  <r>
    <s v="E0061"/>
    <x v="5"/>
    <s v="Senior Financial Analyst"/>
    <n v="74600"/>
    <n v="88000"/>
    <n v="0.84772727272727277"/>
    <n v="2238"/>
    <n v="76838"/>
    <n v="4600"/>
    <n v="79200"/>
    <n v="9000"/>
    <n v="83600"/>
    <n v="1"/>
    <n v="1"/>
  </r>
  <r>
    <s v="E0062"/>
    <x v="4"/>
    <s v="Administrative Assistant"/>
    <n v="39900"/>
    <n v="48000"/>
    <n v="0.83125000000000004"/>
    <n v="1197"/>
    <n v="41097"/>
    <n v="3300"/>
    <n v="43200"/>
    <n v="5700"/>
    <n v="45600"/>
    <n v="1"/>
    <n v="1"/>
  </r>
  <r>
    <s v="E0063"/>
    <x v="2"/>
    <s v="Policy Analyst"/>
    <n v="63100"/>
    <n v="72000"/>
    <n v="0.87638888888888888"/>
    <n v="1893"/>
    <n v="64993"/>
    <n v="1700"/>
    <n v="64800"/>
    <n v="5300"/>
    <n v="68400"/>
    <n v="1"/>
    <n v="1"/>
  </r>
  <r>
    <s v="E0064"/>
    <x v="4"/>
    <s v="Administrative Assistant"/>
    <n v="46500"/>
    <n v="48000"/>
    <n v="0.96875"/>
    <n v="1395"/>
    <n v="47895"/>
    <n v="0"/>
    <n v="46500"/>
    <n v="0"/>
    <n v="46500"/>
    <n v="0"/>
    <n v="0"/>
  </r>
  <r>
    <s v="E0065"/>
    <x v="3"/>
    <s v="Operations Analyst"/>
    <n v="65100"/>
    <n v="68000"/>
    <n v="0.95735294117647063"/>
    <n v="1953"/>
    <n v="67053"/>
    <n v="0"/>
    <n v="65100"/>
    <n v="0"/>
    <n v="65100"/>
    <n v="0"/>
    <n v="0"/>
  </r>
  <r>
    <s v="E0066"/>
    <x v="3"/>
    <s v="Operations Manager"/>
    <n v="77300"/>
    <n v="85000"/>
    <n v="0.90941176470588236"/>
    <n v="2319"/>
    <n v="79619"/>
    <n v="0"/>
    <n v="77300"/>
    <n v="3450"/>
    <n v="80750"/>
    <n v="0"/>
    <n v="1"/>
  </r>
  <r>
    <s v="E0067"/>
    <x v="3"/>
    <s v="Operations Manager"/>
    <n v="94000"/>
    <n v="85000"/>
    <n v="1.1058823529411765"/>
    <n v="2820"/>
    <n v="96820"/>
    <n v="0"/>
    <n v="94000"/>
    <n v="0"/>
    <n v="94000"/>
    <n v="0"/>
    <n v="0"/>
  </r>
  <r>
    <s v="E0068"/>
    <x v="0"/>
    <s v="IT Support Analyst"/>
    <n v="55800"/>
    <n v="58000"/>
    <n v="0.96206896551724141"/>
    <n v="1674"/>
    <n v="57474"/>
    <n v="0"/>
    <n v="55800"/>
    <n v="0"/>
    <n v="55800"/>
    <n v="0"/>
    <n v="0"/>
  </r>
  <r>
    <s v="E0069"/>
    <x v="2"/>
    <s v="Policy Analyst"/>
    <n v="67600"/>
    <n v="72000"/>
    <n v="0.93888888888888888"/>
    <n v="2028"/>
    <n v="69628"/>
    <n v="0"/>
    <n v="67600"/>
    <n v="800"/>
    <n v="68400"/>
    <n v="0"/>
    <n v="1"/>
  </r>
  <r>
    <s v="E0070"/>
    <x v="1"/>
    <s v="HR Analyst"/>
    <n v="61300"/>
    <n v="68000"/>
    <n v="0.90147058823529413"/>
    <n v="1839"/>
    <n v="63139"/>
    <n v="0"/>
    <n v="61300"/>
    <n v="3300"/>
    <n v="64600"/>
    <n v="0"/>
    <n v="1"/>
  </r>
  <r>
    <s v="E0071"/>
    <x v="3"/>
    <s v="Operations Manager"/>
    <n v="67600"/>
    <n v="85000"/>
    <n v="0.79529411764705882"/>
    <n v="2028"/>
    <n v="69628"/>
    <n v="8900"/>
    <n v="76500"/>
    <n v="13150"/>
    <n v="80750"/>
    <n v="1"/>
    <n v="1"/>
  </r>
  <r>
    <s v="E0072"/>
    <x v="3"/>
    <s v="Operations Assistant"/>
    <n v="45800"/>
    <n v="50000"/>
    <n v="0.91600000000000004"/>
    <n v="1374"/>
    <n v="47174"/>
    <n v="0"/>
    <n v="45800"/>
    <n v="1700"/>
    <n v="47500"/>
    <n v="0"/>
    <n v="1"/>
  </r>
  <r>
    <s v="E0073"/>
    <x v="4"/>
    <s v="Administrative Assistant"/>
    <n v="53500"/>
    <n v="48000"/>
    <n v="1.1145833333333333"/>
    <n v="1605"/>
    <n v="55105"/>
    <n v="0"/>
    <n v="53500"/>
    <n v="0"/>
    <n v="53500"/>
    <n v="0"/>
    <n v="0"/>
  </r>
  <r>
    <s v="E0074"/>
    <x v="1"/>
    <s v="HR Analyst"/>
    <n v="61500"/>
    <n v="68000"/>
    <n v="0.90441176470588236"/>
    <n v="1845"/>
    <n v="63345"/>
    <n v="0"/>
    <n v="61500"/>
    <n v="3100"/>
    <n v="64600"/>
    <n v="0"/>
    <n v="1"/>
  </r>
  <r>
    <s v="E0075"/>
    <x v="3"/>
    <s v="Operations Assistant"/>
    <n v="46100"/>
    <n v="50000"/>
    <n v="0.92200000000000004"/>
    <n v="1383"/>
    <n v="47483"/>
    <n v="0"/>
    <n v="46100"/>
    <n v="1400"/>
    <n v="47500"/>
    <n v="0"/>
    <n v="1"/>
  </r>
  <r>
    <s v="E0076"/>
    <x v="3"/>
    <s v="Operations Assistant"/>
    <n v="44500"/>
    <n v="50000"/>
    <n v="0.89"/>
    <n v="1335"/>
    <n v="45835"/>
    <n v="500"/>
    <n v="45000"/>
    <n v="3000"/>
    <n v="47500"/>
    <n v="1"/>
    <n v="1"/>
  </r>
  <r>
    <s v="E0077"/>
    <x v="5"/>
    <s v="Finance Assistant"/>
    <n v="60400"/>
    <n v="52000"/>
    <n v="1.1615384615384616"/>
    <n v="1812"/>
    <n v="62212"/>
    <n v="0"/>
    <n v="60400"/>
    <n v="0"/>
    <n v="60400"/>
    <n v="0"/>
    <n v="0"/>
  </r>
  <r>
    <s v="E0078"/>
    <x v="5"/>
    <s v="Financial Analyst"/>
    <n v="63000"/>
    <n v="70000"/>
    <n v="0.9"/>
    <n v="1890"/>
    <n v="64890"/>
    <n v="0"/>
    <n v="63000"/>
    <n v="3500"/>
    <n v="66500"/>
    <n v="0"/>
    <n v="1"/>
  </r>
  <r>
    <s v="E0079"/>
    <x v="0"/>
    <s v="Senior Systems Analyst"/>
    <n v="104500"/>
    <n v="98000"/>
    <n v="1.0663265306122449"/>
    <n v="3135"/>
    <n v="107635"/>
    <n v="0"/>
    <n v="104500"/>
    <n v="0"/>
    <n v="104500"/>
    <n v="0"/>
    <n v="0"/>
  </r>
  <r>
    <s v="E0080"/>
    <x v="2"/>
    <s v="Research Assistant"/>
    <n v="49500"/>
    <n v="52000"/>
    <n v="0.95192307692307687"/>
    <n v="1485"/>
    <n v="50985"/>
    <n v="0"/>
    <n v="49500"/>
    <n v="0"/>
    <n v="49500"/>
    <n v="0"/>
    <n v="0"/>
  </r>
  <r>
    <s v="E0081"/>
    <x v="5"/>
    <s v="Finance Assistant"/>
    <n v="57600"/>
    <n v="52000"/>
    <n v="1.1076923076923078"/>
    <n v="1728"/>
    <n v="59328"/>
    <n v="0"/>
    <n v="57600"/>
    <n v="0"/>
    <n v="57600"/>
    <n v="0"/>
    <n v="0"/>
  </r>
  <r>
    <s v="E0082"/>
    <x v="4"/>
    <s v="Administrative Assistant"/>
    <n v="39700"/>
    <n v="48000"/>
    <n v="0.82708333333333328"/>
    <n v="1191"/>
    <n v="40891"/>
    <n v="3500"/>
    <n v="43200"/>
    <n v="5900"/>
    <n v="45600"/>
    <n v="1"/>
    <n v="1"/>
  </r>
  <r>
    <s v="E0083"/>
    <x v="0"/>
    <s v="Senior Systems Analyst"/>
    <n v="88300"/>
    <n v="98000"/>
    <n v="0.90102040816326534"/>
    <n v="2649"/>
    <n v="90949"/>
    <n v="0"/>
    <n v="88300"/>
    <n v="4800"/>
    <n v="93100"/>
    <n v="0"/>
    <n v="1"/>
  </r>
  <r>
    <s v="E0084"/>
    <x v="2"/>
    <s v="Policy Analyst"/>
    <n v="69900"/>
    <n v="72000"/>
    <n v="0.97083333333333333"/>
    <n v="2097"/>
    <n v="71997"/>
    <n v="0"/>
    <n v="69900"/>
    <n v="0"/>
    <n v="69900"/>
    <n v="0"/>
    <n v="0"/>
  </r>
  <r>
    <s v="E0085"/>
    <x v="5"/>
    <s v="Senior Financial Analyst"/>
    <n v="74400"/>
    <n v="88000"/>
    <n v="0.84545454545454546"/>
    <n v="2232"/>
    <n v="76632"/>
    <n v="4800"/>
    <n v="79200"/>
    <n v="9200"/>
    <n v="83600"/>
    <n v="1"/>
    <n v="1"/>
  </r>
  <r>
    <s v="E0086"/>
    <x v="1"/>
    <s v="HR Assistant"/>
    <n v="54100"/>
    <n v="50000"/>
    <n v="1.0820000000000001"/>
    <n v="1623"/>
    <n v="55723"/>
    <n v="0"/>
    <n v="54100"/>
    <n v="0"/>
    <n v="54100"/>
    <n v="0"/>
    <n v="0"/>
  </r>
  <r>
    <s v="E0087"/>
    <x v="2"/>
    <s v="Research Assistant"/>
    <n v="53300"/>
    <n v="52000"/>
    <n v="1.0249999999999999"/>
    <n v="1599"/>
    <n v="54899"/>
    <n v="0"/>
    <n v="53300"/>
    <n v="0"/>
    <n v="53300"/>
    <n v="0"/>
    <n v="0"/>
  </r>
  <r>
    <s v="E0088"/>
    <x v="4"/>
    <s v="Office Manager"/>
    <n v="72800"/>
    <n v="72000"/>
    <n v="1.0111111111111111"/>
    <n v="2184"/>
    <n v="74984"/>
    <n v="0"/>
    <n v="72800"/>
    <n v="0"/>
    <n v="72800"/>
    <n v="0"/>
    <n v="0"/>
  </r>
  <r>
    <s v="E0089"/>
    <x v="4"/>
    <s v="Office Manager"/>
    <n v="76600"/>
    <n v="72000"/>
    <n v="1.0638888888888889"/>
    <n v="2298"/>
    <n v="78898"/>
    <n v="0"/>
    <n v="76600"/>
    <n v="0"/>
    <n v="76600"/>
    <n v="0"/>
    <n v="0"/>
  </r>
  <r>
    <s v="E0090"/>
    <x v="1"/>
    <s v="HR Assistant"/>
    <n v="51800"/>
    <n v="50000"/>
    <n v="1.036"/>
    <n v="1554"/>
    <n v="53354"/>
    <n v="0"/>
    <n v="51800"/>
    <n v="0"/>
    <n v="51800"/>
    <n v="0"/>
    <n v="0"/>
  </r>
  <r>
    <s v="E0091"/>
    <x v="0"/>
    <s v="IT Support Analyst"/>
    <n v="57000"/>
    <n v="58000"/>
    <n v="0.98275862068965514"/>
    <n v="1710"/>
    <n v="58710"/>
    <n v="0"/>
    <n v="57000"/>
    <n v="0"/>
    <n v="57000"/>
    <n v="0"/>
    <n v="0"/>
  </r>
  <r>
    <s v="E0092"/>
    <x v="0"/>
    <s v="Senior Systems Analyst"/>
    <n v="91800"/>
    <n v="98000"/>
    <n v="0.93673469387755104"/>
    <n v="2754"/>
    <n v="94554"/>
    <n v="0"/>
    <n v="91800"/>
    <n v="1300"/>
    <n v="93100"/>
    <n v="0"/>
    <n v="1"/>
  </r>
  <r>
    <s v="E0093"/>
    <x v="2"/>
    <s v="Senior Policy Analyst"/>
    <n v="95900"/>
    <n v="90000"/>
    <n v="1.0655555555555556"/>
    <n v="2877"/>
    <n v="98777"/>
    <n v="0"/>
    <n v="95900"/>
    <n v="0"/>
    <n v="95900"/>
    <n v="0"/>
    <n v="0"/>
  </r>
  <r>
    <s v="E0094"/>
    <x v="4"/>
    <s v="Office Manager"/>
    <n v="74100"/>
    <n v="72000"/>
    <n v="1.0291666666666666"/>
    <n v="2223"/>
    <n v="76323"/>
    <n v="0"/>
    <n v="74100"/>
    <n v="0"/>
    <n v="74100"/>
    <n v="0"/>
    <n v="0"/>
  </r>
  <r>
    <s v="E0095"/>
    <x v="5"/>
    <s v="Senior Financial Analyst"/>
    <n v="92200"/>
    <n v="88000"/>
    <n v="1.0477272727272726"/>
    <n v="2766"/>
    <n v="94966"/>
    <n v="0"/>
    <n v="92200"/>
    <n v="0"/>
    <n v="92200"/>
    <n v="0"/>
    <n v="0"/>
  </r>
  <r>
    <s v="E0096"/>
    <x v="1"/>
    <s v="HR Advisor"/>
    <n v="76700"/>
    <n v="82000"/>
    <n v="0.93536585365853664"/>
    <n v="2301"/>
    <n v="79001"/>
    <n v="0"/>
    <n v="76700"/>
    <n v="1200"/>
    <n v="77900"/>
    <n v="0"/>
    <n v="1"/>
  </r>
  <r>
    <s v="E0097"/>
    <x v="4"/>
    <s v="Administrative Coordinator"/>
    <n v="53600"/>
    <n v="58000"/>
    <n v="0.92413793103448272"/>
    <n v="1608"/>
    <n v="55208"/>
    <n v="0"/>
    <n v="53600"/>
    <n v="1500"/>
    <n v="55100"/>
    <n v="0"/>
    <n v="1"/>
  </r>
  <r>
    <s v="E0098"/>
    <x v="5"/>
    <s v="Finance Assistant"/>
    <n v="55600"/>
    <n v="52000"/>
    <n v="1.0692307692307692"/>
    <n v="1668"/>
    <n v="57268"/>
    <n v="0"/>
    <n v="55600"/>
    <n v="0"/>
    <n v="55600"/>
    <n v="0"/>
    <n v="0"/>
  </r>
  <r>
    <s v="E0099"/>
    <x v="5"/>
    <s v="Finance Assistant"/>
    <n v="54900"/>
    <n v="52000"/>
    <n v="1.0557692307692308"/>
    <n v="1647"/>
    <n v="56547"/>
    <n v="0"/>
    <n v="54900"/>
    <n v="0"/>
    <n v="54900"/>
    <n v="0"/>
    <n v="0"/>
  </r>
  <r>
    <s v="E0100"/>
    <x v="3"/>
    <s v="Operations Assistant"/>
    <n v="48700"/>
    <n v="50000"/>
    <n v="0.97399999999999998"/>
    <n v="1461"/>
    <n v="50161"/>
    <n v="0"/>
    <n v="48700"/>
    <n v="0"/>
    <n v="48700"/>
    <n v="0"/>
    <n v="0"/>
  </r>
  <r>
    <s v="E0101"/>
    <x v="0"/>
    <s v="Systems Analyst"/>
    <n v="58200"/>
    <n v="78000"/>
    <n v="0.74615384615384617"/>
    <n v="1746"/>
    <n v="59946"/>
    <n v="12000"/>
    <n v="70200"/>
    <n v="15900"/>
    <n v="74100"/>
    <n v="1"/>
    <n v="1"/>
  </r>
  <r>
    <s v="E0102"/>
    <x v="5"/>
    <s v="Senior Financial Analyst"/>
    <n v="97400"/>
    <n v="88000"/>
    <n v="1.1068181818181819"/>
    <n v="2922"/>
    <n v="100322"/>
    <n v="0"/>
    <n v="97400"/>
    <n v="0"/>
    <n v="97400"/>
    <n v="0"/>
    <n v="0"/>
  </r>
  <r>
    <s v="E0103"/>
    <x v="2"/>
    <s v="Research Assistant"/>
    <n v="51100"/>
    <n v="52000"/>
    <n v="0.98269230769230764"/>
    <n v="1533"/>
    <n v="52633"/>
    <n v="0"/>
    <n v="51100"/>
    <n v="0"/>
    <n v="51100"/>
    <n v="0"/>
    <n v="0"/>
  </r>
  <r>
    <s v="E0104"/>
    <x v="4"/>
    <s v="Office Manager"/>
    <n v="62400"/>
    <n v="72000"/>
    <n v="0.8666666666666667"/>
    <n v="1872"/>
    <n v="64272"/>
    <n v="2400"/>
    <n v="64800"/>
    <n v="6000"/>
    <n v="68400"/>
    <n v="1"/>
    <n v="1"/>
  </r>
  <r>
    <s v="E0105"/>
    <x v="4"/>
    <s v="Office Manager"/>
    <n v="49900"/>
    <n v="72000"/>
    <n v="0.69305555555555554"/>
    <n v="1497"/>
    <n v="51397"/>
    <n v="14900"/>
    <n v="64800"/>
    <n v="18500"/>
    <n v="68400"/>
    <n v="1"/>
    <n v="1"/>
  </r>
  <r>
    <s v="E0106"/>
    <x v="5"/>
    <s v="Finance Assistant"/>
    <n v="55300"/>
    <n v="52000"/>
    <n v="1.0634615384615385"/>
    <n v="1659"/>
    <n v="56959"/>
    <n v="0"/>
    <n v="55300"/>
    <n v="0"/>
    <n v="55300"/>
    <n v="0"/>
    <n v="0"/>
  </r>
  <r>
    <s v="E0107"/>
    <x v="2"/>
    <s v="Policy Analyst"/>
    <n v="69100"/>
    <n v="72000"/>
    <n v="0.95972222222222225"/>
    <n v="2073"/>
    <n v="71173"/>
    <n v="0"/>
    <n v="69100"/>
    <n v="0"/>
    <n v="69100"/>
    <n v="0"/>
    <n v="0"/>
  </r>
  <r>
    <s v="E0108"/>
    <x v="0"/>
    <s v="IT Support Analyst"/>
    <n v="50600"/>
    <n v="58000"/>
    <n v="0.87241379310344824"/>
    <n v="1518"/>
    <n v="52118"/>
    <n v="1600"/>
    <n v="52200"/>
    <n v="4500"/>
    <n v="55100"/>
    <n v="1"/>
    <n v="1"/>
  </r>
  <r>
    <s v="E0109"/>
    <x v="4"/>
    <s v="Administrative Coordinator"/>
    <n v="62100"/>
    <n v="58000"/>
    <n v="1.0706896551724139"/>
    <n v="1863"/>
    <n v="63963"/>
    <n v="0"/>
    <n v="62100"/>
    <n v="0"/>
    <n v="62100"/>
    <n v="0"/>
    <n v="0"/>
  </r>
  <r>
    <s v="E0110"/>
    <x v="4"/>
    <s v="Office Manager"/>
    <n v="81500"/>
    <n v="72000"/>
    <n v="1.1319444444444444"/>
    <n v="2445"/>
    <n v="83945"/>
    <n v="0"/>
    <n v="81500"/>
    <n v="0"/>
    <n v="81500"/>
    <n v="0"/>
    <n v="0"/>
  </r>
  <r>
    <s v="E0111"/>
    <x v="3"/>
    <s v="Operations Assistant"/>
    <n v="41500"/>
    <n v="50000"/>
    <n v="0.83"/>
    <n v="1245"/>
    <n v="42745"/>
    <n v="3500"/>
    <n v="45000"/>
    <n v="6000"/>
    <n v="47500"/>
    <n v="1"/>
    <n v="1"/>
  </r>
  <r>
    <s v="E0112"/>
    <x v="0"/>
    <s v="Systems Analyst"/>
    <n v="86500"/>
    <n v="78000"/>
    <n v="1.108974358974359"/>
    <n v="2595"/>
    <n v="89095"/>
    <n v="0"/>
    <n v="86500"/>
    <n v="0"/>
    <n v="86500"/>
    <n v="0"/>
    <n v="0"/>
  </r>
  <r>
    <s v="E0113"/>
    <x v="1"/>
    <s v="HR Analyst"/>
    <n v="76300"/>
    <n v="68000"/>
    <n v="1.1220588235294118"/>
    <n v="2289"/>
    <n v="78589"/>
    <n v="0"/>
    <n v="76300"/>
    <n v="0"/>
    <n v="76300"/>
    <n v="0"/>
    <n v="0"/>
  </r>
  <r>
    <s v="E0114"/>
    <x v="2"/>
    <s v="Research Assistant"/>
    <n v="41600"/>
    <n v="52000"/>
    <n v="0.8"/>
    <n v="1248"/>
    <n v="42848"/>
    <n v="5200"/>
    <n v="46800"/>
    <n v="7800"/>
    <n v="49400"/>
    <n v="1"/>
    <n v="1"/>
  </r>
  <r>
    <s v="E0115"/>
    <x v="3"/>
    <s v="Operations Analyst"/>
    <n v="55600"/>
    <n v="68000"/>
    <n v="0.81764705882352939"/>
    <n v="1668"/>
    <n v="57268"/>
    <n v="5600"/>
    <n v="61200"/>
    <n v="9000"/>
    <n v="64600"/>
    <n v="1"/>
    <n v="1"/>
  </r>
  <r>
    <s v="E0116"/>
    <x v="3"/>
    <s v="Operations Analyst"/>
    <n v="77100"/>
    <n v="68000"/>
    <n v="1.1338235294117647"/>
    <n v="2313"/>
    <n v="79413"/>
    <n v="0"/>
    <n v="77100"/>
    <n v="0"/>
    <n v="77100"/>
    <n v="0"/>
    <n v="0"/>
  </r>
  <r>
    <s v="E0117"/>
    <x v="4"/>
    <s v="Administrative Coordinator"/>
    <n v="51500"/>
    <n v="58000"/>
    <n v="0.88793103448275867"/>
    <n v="1545"/>
    <n v="53045"/>
    <n v="700"/>
    <n v="52200"/>
    <n v="3600"/>
    <n v="55100"/>
    <n v="1"/>
    <n v="1"/>
  </r>
  <r>
    <s v="E0118"/>
    <x v="1"/>
    <s v="HR Advisor"/>
    <n v="89700"/>
    <n v="82000"/>
    <n v="1.0939024390243903"/>
    <n v="2691"/>
    <n v="92391"/>
    <n v="0"/>
    <n v="89700"/>
    <n v="0"/>
    <n v="89700"/>
    <n v="0"/>
    <n v="0"/>
  </r>
  <r>
    <s v="E0119"/>
    <x v="5"/>
    <s v="Finance Assistant"/>
    <n v="51200"/>
    <n v="52000"/>
    <n v="0.98461538461538467"/>
    <n v="1536"/>
    <n v="52736"/>
    <n v="0"/>
    <n v="51200"/>
    <n v="0"/>
    <n v="51200"/>
    <n v="0"/>
    <n v="0"/>
  </r>
  <r>
    <s v="E0120"/>
    <x v="2"/>
    <s v="Policy Analyst"/>
    <n v="82200"/>
    <n v="72000"/>
    <n v="1.1416666666666666"/>
    <n v="2466"/>
    <n v="84666"/>
    <n v="0"/>
    <n v="82200"/>
    <n v="0"/>
    <n v="82200"/>
    <n v="0"/>
    <n v="0"/>
  </r>
  <r>
    <s v="E0121"/>
    <x v="2"/>
    <s v="Research Assistant"/>
    <n v="42400"/>
    <n v="52000"/>
    <n v="0.81538461538461537"/>
    <n v="1272"/>
    <n v="43672"/>
    <n v="4400"/>
    <n v="46800"/>
    <n v="7000"/>
    <n v="49400"/>
    <n v="1"/>
    <n v="1"/>
  </r>
  <r>
    <s v="E0122"/>
    <x v="4"/>
    <s v="Administrative Coordinator"/>
    <n v="51400"/>
    <n v="58000"/>
    <n v="0.88620689655172413"/>
    <n v="1542"/>
    <n v="52942"/>
    <n v="800"/>
    <n v="52200"/>
    <n v="3700"/>
    <n v="55100"/>
    <n v="1"/>
    <n v="1"/>
  </r>
  <r>
    <s v="E0123"/>
    <x v="2"/>
    <s v="Policy Analyst"/>
    <n v="57400"/>
    <n v="72000"/>
    <n v="0.79722222222222228"/>
    <n v="1722"/>
    <n v="59122"/>
    <n v="7400"/>
    <n v="64800"/>
    <n v="11000"/>
    <n v="68400"/>
    <n v="1"/>
    <n v="1"/>
  </r>
  <r>
    <s v="E0124"/>
    <x v="5"/>
    <s v="Financial Analyst"/>
    <n v="75400"/>
    <n v="70000"/>
    <n v="1.0771428571428572"/>
    <n v="2262"/>
    <n v="77662"/>
    <n v="0"/>
    <n v="75400"/>
    <n v="0"/>
    <n v="75400"/>
    <n v="0"/>
    <n v="0"/>
  </r>
  <r>
    <s v="E0125"/>
    <x v="1"/>
    <s v="HR Advisor"/>
    <n v="94800"/>
    <n v="82000"/>
    <n v="1.1560975609756097"/>
    <n v="2844"/>
    <n v="97644"/>
    <n v="0"/>
    <n v="94800"/>
    <n v="0"/>
    <n v="94800"/>
    <n v="0"/>
    <n v="0"/>
  </r>
  <r>
    <s v="E0126"/>
    <x v="3"/>
    <s v="Operations Manager"/>
    <n v="95700"/>
    <n v="85000"/>
    <n v="1.1258823529411766"/>
    <n v="2871"/>
    <n v="98571"/>
    <n v="0"/>
    <n v="95700"/>
    <n v="0"/>
    <n v="95700"/>
    <n v="0"/>
    <n v="0"/>
  </r>
  <r>
    <s v="E0127"/>
    <x v="2"/>
    <s v="Research Assistant"/>
    <n v="47100"/>
    <n v="52000"/>
    <n v="0.90576923076923077"/>
    <n v="1413"/>
    <n v="48513"/>
    <n v="0"/>
    <n v="47100"/>
    <n v="2300"/>
    <n v="49400"/>
    <n v="0"/>
    <n v="1"/>
  </r>
  <r>
    <s v="E0128"/>
    <x v="0"/>
    <s v="Systems Analyst"/>
    <n v="71400"/>
    <n v="78000"/>
    <n v="0.91538461538461535"/>
    <n v="2142"/>
    <n v="73542"/>
    <n v="0"/>
    <n v="71400"/>
    <n v="2700"/>
    <n v="74100"/>
    <n v="0"/>
    <n v="1"/>
  </r>
  <r>
    <s v="E0129"/>
    <x v="5"/>
    <s v="Financial Analyst"/>
    <n v="64600"/>
    <n v="70000"/>
    <n v="0.92285714285714282"/>
    <n v="1938"/>
    <n v="66538"/>
    <n v="0"/>
    <n v="64600"/>
    <n v="1900"/>
    <n v="66500"/>
    <n v="0"/>
    <n v="1"/>
  </r>
  <r>
    <s v="E0130"/>
    <x v="3"/>
    <s v="Operations Assistant"/>
    <n v="51100"/>
    <n v="50000"/>
    <n v="1.022"/>
    <n v="1533"/>
    <n v="52633"/>
    <n v="0"/>
    <n v="51100"/>
    <n v="0"/>
    <n v="51100"/>
    <n v="0"/>
    <n v="0"/>
  </r>
  <r>
    <s v="E0131"/>
    <x v="5"/>
    <s v="Senior Financial Analyst"/>
    <n v="68600"/>
    <n v="88000"/>
    <n v="0.77954545454545454"/>
    <n v="2058"/>
    <n v="70658"/>
    <n v="10600"/>
    <n v="79200"/>
    <n v="15000"/>
    <n v="83600"/>
    <n v="1"/>
    <n v="1"/>
  </r>
  <r>
    <s v="E0132"/>
    <x v="2"/>
    <s v="Policy Analyst"/>
    <n v="68000"/>
    <n v="72000"/>
    <n v="0.94444444444444442"/>
    <n v="2040"/>
    <n v="70040"/>
    <n v="0"/>
    <n v="68000"/>
    <n v="400"/>
    <n v="68400"/>
    <n v="0"/>
    <n v="1"/>
  </r>
  <r>
    <s v="E0133"/>
    <x v="2"/>
    <s v="Policy Analyst"/>
    <n v="71900"/>
    <n v="72000"/>
    <n v="0.99861111111111112"/>
    <n v="2157"/>
    <n v="74057"/>
    <n v="0"/>
    <n v="71900"/>
    <n v="0"/>
    <n v="71900"/>
    <n v="0"/>
    <n v="0"/>
  </r>
  <r>
    <s v="E0134"/>
    <x v="1"/>
    <s v="HR Analyst"/>
    <n v="50600"/>
    <n v="68000"/>
    <n v="0.74411764705882355"/>
    <n v="1518"/>
    <n v="52118"/>
    <n v="10600"/>
    <n v="61200"/>
    <n v="14000"/>
    <n v="64600"/>
    <n v="1"/>
    <n v="1"/>
  </r>
  <r>
    <s v="E0135"/>
    <x v="0"/>
    <s v="IT Support Analyst"/>
    <n v="57800"/>
    <n v="58000"/>
    <n v="0.99655172413793103"/>
    <n v="1734"/>
    <n v="59534"/>
    <n v="0"/>
    <n v="57800"/>
    <n v="0"/>
    <n v="57800"/>
    <n v="0"/>
    <n v="0"/>
  </r>
  <r>
    <s v="E0136"/>
    <x v="2"/>
    <s v="Policy Analyst"/>
    <n v="68500"/>
    <n v="72000"/>
    <n v="0.95138888888888884"/>
    <n v="2055"/>
    <n v="70555"/>
    <n v="0"/>
    <n v="68500"/>
    <n v="0"/>
    <n v="68500"/>
    <n v="0"/>
    <n v="0"/>
  </r>
  <r>
    <s v="E0137"/>
    <x v="2"/>
    <s v="Policy Analyst"/>
    <n v="58100"/>
    <n v="72000"/>
    <n v="0.80694444444444446"/>
    <n v="1743"/>
    <n v="59843"/>
    <n v="6700"/>
    <n v="64800"/>
    <n v="10300"/>
    <n v="68400"/>
    <n v="1"/>
    <n v="1"/>
  </r>
  <r>
    <s v="E0138"/>
    <x v="5"/>
    <s v="Finance Assistant"/>
    <n v="48400"/>
    <n v="52000"/>
    <n v="0.93076923076923079"/>
    <n v="1452"/>
    <n v="49852"/>
    <n v="0"/>
    <n v="48400"/>
    <n v="1000"/>
    <n v="49400"/>
    <n v="0"/>
    <n v="1"/>
  </r>
  <r>
    <s v="E0139"/>
    <x v="1"/>
    <s v="HR Assistant"/>
    <n v="51800"/>
    <n v="50000"/>
    <n v="1.036"/>
    <n v="1554"/>
    <n v="53354"/>
    <n v="0"/>
    <n v="51800"/>
    <n v="0"/>
    <n v="51800"/>
    <n v="0"/>
    <n v="0"/>
  </r>
  <r>
    <s v="E0140"/>
    <x v="4"/>
    <s v="Office Manager"/>
    <n v="63900"/>
    <n v="72000"/>
    <n v="0.88749999999999996"/>
    <n v="1917"/>
    <n v="65817"/>
    <n v="900"/>
    <n v="64800"/>
    <n v="4500"/>
    <n v="68400"/>
    <n v="1"/>
    <n v="1"/>
  </r>
  <r>
    <s v="E0141"/>
    <x v="3"/>
    <s v="Operations Analyst"/>
    <n v="70400"/>
    <n v="68000"/>
    <n v="1.0352941176470589"/>
    <n v="2112"/>
    <n v="72512"/>
    <n v="0"/>
    <n v="70400"/>
    <n v="0"/>
    <n v="70400"/>
    <n v="0"/>
    <n v="0"/>
  </r>
  <r>
    <s v="E0142"/>
    <x v="3"/>
    <s v="Operations Manager"/>
    <n v="72400"/>
    <n v="85000"/>
    <n v="0.85176470588235298"/>
    <n v="2172"/>
    <n v="74572"/>
    <n v="4100"/>
    <n v="76500"/>
    <n v="8350"/>
    <n v="80750"/>
    <n v="1"/>
    <n v="1"/>
  </r>
  <r>
    <s v="E0143"/>
    <x v="5"/>
    <s v="Financial Analyst"/>
    <n v="60800"/>
    <n v="70000"/>
    <n v="0.86857142857142855"/>
    <n v="1824"/>
    <n v="62624"/>
    <n v="2200"/>
    <n v="63000"/>
    <n v="5700"/>
    <n v="66500"/>
    <n v="1"/>
    <n v="1"/>
  </r>
  <r>
    <s v="E0144"/>
    <x v="2"/>
    <s v="Policy Analyst"/>
    <n v="61900"/>
    <n v="72000"/>
    <n v="0.85972222222222228"/>
    <n v="1857"/>
    <n v="63757"/>
    <n v="2900"/>
    <n v="64800"/>
    <n v="6500"/>
    <n v="68400"/>
    <n v="1"/>
    <n v="1"/>
  </r>
  <r>
    <s v="E0145"/>
    <x v="3"/>
    <s v="Operations Analyst"/>
    <n v="62200"/>
    <n v="68000"/>
    <n v="0.91470588235294115"/>
    <n v="1866"/>
    <n v="64066"/>
    <n v="0"/>
    <n v="62200"/>
    <n v="2400"/>
    <n v="64600"/>
    <n v="0"/>
    <n v="1"/>
  </r>
  <r>
    <s v="E0146"/>
    <x v="5"/>
    <s v="Senior Financial Analyst"/>
    <n v="65000"/>
    <n v="88000"/>
    <n v="0.73863636363636365"/>
    <n v="1950"/>
    <n v="66950"/>
    <n v="14200"/>
    <n v="79200"/>
    <n v="18600"/>
    <n v="83600"/>
    <n v="1"/>
    <n v="1"/>
  </r>
  <r>
    <s v="E0147"/>
    <x v="0"/>
    <s v="Senior Systems Analyst"/>
    <n v="107600"/>
    <n v="98000"/>
    <n v="1.0979591836734695"/>
    <n v="3228"/>
    <n v="110828"/>
    <n v="0"/>
    <n v="107600"/>
    <n v="0"/>
    <n v="107600"/>
    <n v="0"/>
    <n v="0"/>
  </r>
  <r>
    <s v="E0148"/>
    <x v="5"/>
    <s v="Finance Assistant"/>
    <n v="59700"/>
    <n v="52000"/>
    <n v="1.148076923076923"/>
    <n v="1791"/>
    <n v="61491"/>
    <n v="0"/>
    <n v="59700"/>
    <n v="0"/>
    <n v="59700"/>
    <n v="0"/>
    <n v="0"/>
  </r>
  <r>
    <s v="E0149"/>
    <x v="5"/>
    <s v="Financial Analyst"/>
    <n v="62200"/>
    <n v="70000"/>
    <n v="0.88857142857142857"/>
    <n v="1866"/>
    <n v="64066"/>
    <n v="800"/>
    <n v="63000"/>
    <n v="4300"/>
    <n v="66500"/>
    <n v="1"/>
    <n v="1"/>
  </r>
  <r>
    <s v="E0150"/>
    <x v="0"/>
    <s v="Systems Analyst"/>
    <n v="64300"/>
    <n v="78000"/>
    <n v="0.82435897435897432"/>
    <n v="1929"/>
    <n v="66229"/>
    <n v="5900"/>
    <n v="70200"/>
    <n v="9800"/>
    <n v="74100"/>
    <n v="1"/>
    <n v="1"/>
  </r>
  <r>
    <s v="E0151"/>
    <x v="3"/>
    <s v="Operations Manager"/>
    <n v="59500"/>
    <n v="85000"/>
    <n v="0.7"/>
    <n v="1785"/>
    <n v="61285"/>
    <n v="17000"/>
    <n v="76500"/>
    <n v="21250"/>
    <n v="80750"/>
    <n v="1"/>
    <n v="1"/>
  </r>
  <r>
    <s v="E0152"/>
    <x v="0"/>
    <s v="Senior Systems Analyst"/>
    <n v="99800"/>
    <n v="98000"/>
    <n v="1.0183673469387755"/>
    <n v="2994"/>
    <n v="102794"/>
    <n v="0"/>
    <n v="99800"/>
    <n v="0"/>
    <n v="99800"/>
    <n v="0"/>
    <n v="0"/>
  </r>
  <r>
    <s v="E0153"/>
    <x v="0"/>
    <s v="Senior Systems Analyst"/>
    <n v="93000"/>
    <n v="98000"/>
    <n v="0.94897959183673475"/>
    <n v="2790"/>
    <n v="95790"/>
    <n v="0"/>
    <n v="93000"/>
    <n v="100"/>
    <n v="93100"/>
    <n v="0"/>
    <n v="1"/>
  </r>
  <r>
    <s v="E0154"/>
    <x v="3"/>
    <s v="Operations Manager"/>
    <n v="84600"/>
    <n v="85000"/>
    <n v="0.99529411764705877"/>
    <n v="2538"/>
    <n v="87138"/>
    <n v="0"/>
    <n v="84600"/>
    <n v="0"/>
    <n v="84600"/>
    <n v="0"/>
    <n v="0"/>
  </r>
  <r>
    <s v="E0155"/>
    <x v="5"/>
    <s v="Senior Financial Analyst"/>
    <n v="78600"/>
    <n v="88000"/>
    <n v="0.89318181818181819"/>
    <n v="2358"/>
    <n v="80958"/>
    <n v="600"/>
    <n v="79200"/>
    <n v="5000"/>
    <n v="83600"/>
    <n v="1"/>
    <n v="1"/>
  </r>
  <r>
    <s v="E0156"/>
    <x v="1"/>
    <s v="HR Assistant"/>
    <n v="42500"/>
    <n v="50000"/>
    <n v="0.85"/>
    <n v="1275"/>
    <n v="43775"/>
    <n v="2500"/>
    <n v="45000"/>
    <n v="5000"/>
    <n v="47500"/>
    <n v="1"/>
    <n v="1"/>
  </r>
  <r>
    <s v="E0157"/>
    <x v="4"/>
    <s v="Administrative Coordinator"/>
    <n v="48500"/>
    <n v="58000"/>
    <n v="0.83620689655172409"/>
    <n v="1455"/>
    <n v="49955"/>
    <n v="3700"/>
    <n v="52200"/>
    <n v="6600"/>
    <n v="55100"/>
    <n v="1"/>
    <n v="1"/>
  </r>
  <r>
    <s v="E0158"/>
    <x v="0"/>
    <s v="IT Support Analyst"/>
    <n v="56700"/>
    <n v="58000"/>
    <n v="0.97758620689655173"/>
    <n v="1701"/>
    <n v="58401"/>
    <n v="0"/>
    <n v="56700"/>
    <n v="0"/>
    <n v="56700"/>
    <n v="0"/>
    <n v="0"/>
  </r>
  <r>
    <s v="E0159"/>
    <x v="3"/>
    <s v="Operations Analyst"/>
    <n v="55100"/>
    <n v="68000"/>
    <n v="0.81029411764705883"/>
    <n v="1653"/>
    <n v="56753"/>
    <n v="6100"/>
    <n v="61200"/>
    <n v="9500"/>
    <n v="64600"/>
    <n v="1"/>
    <n v="1"/>
  </r>
  <r>
    <s v="E0160"/>
    <x v="5"/>
    <s v="Finance Assistant"/>
    <n v="50600"/>
    <n v="52000"/>
    <n v="0.97307692307692306"/>
    <n v="1518"/>
    <n v="52118"/>
    <n v="0"/>
    <n v="50600"/>
    <n v="0"/>
    <n v="50600"/>
    <n v="0"/>
    <n v="0"/>
  </r>
  <r>
    <s v="E0161"/>
    <x v="4"/>
    <s v="Office Manager"/>
    <n v="55700"/>
    <n v="72000"/>
    <n v="0.77361111111111114"/>
    <n v="1671"/>
    <n v="57371"/>
    <n v="9100"/>
    <n v="64800"/>
    <n v="12700"/>
    <n v="68400"/>
    <n v="1"/>
    <n v="1"/>
  </r>
  <r>
    <s v="E0162"/>
    <x v="4"/>
    <s v="Administrative Assistant"/>
    <n v="40600"/>
    <n v="48000"/>
    <n v="0.84583333333333333"/>
    <n v="1218"/>
    <n v="41818"/>
    <n v="2600"/>
    <n v="43200"/>
    <n v="5000"/>
    <n v="45600"/>
    <n v="1"/>
    <n v="1"/>
  </r>
  <r>
    <s v="E0163"/>
    <x v="2"/>
    <s v="Senior Policy Analyst"/>
    <n v="91500"/>
    <n v="90000"/>
    <n v="1.0166666666666666"/>
    <n v="2745"/>
    <n v="94245"/>
    <n v="0"/>
    <n v="91500"/>
    <n v="0"/>
    <n v="91500"/>
    <n v="0"/>
    <n v="0"/>
  </r>
  <r>
    <s v="E0164"/>
    <x v="3"/>
    <s v="Operations Assistant"/>
    <n v="46600"/>
    <n v="50000"/>
    <n v="0.93200000000000005"/>
    <n v="1398"/>
    <n v="47998"/>
    <n v="0"/>
    <n v="46600"/>
    <n v="900"/>
    <n v="47500"/>
    <n v="0"/>
    <n v="1"/>
  </r>
  <r>
    <s v="E0165"/>
    <x v="2"/>
    <s v="Policy Analyst"/>
    <n v="72300"/>
    <n v="72000"/>
    <n v="1.0041666666666667"/>
    <n v="2169"/>
    <n v="74469"/>
    <n v="0"/>
    <n v="72300"/>
    <n v="0"/>
    <n v="72300"/>
    <n v="0"/>
    <n v="0"/>
  </r>
  <r>
    <s v="E0166"/>
    <x v="5"/>
    <s v="Financial Analyst"/>
    <n v="73700"/>
    <n v="70000"/>
    <n v="1.0528571428571429"/>
    <n v="2211"/>
    <n v="75911"/>
    <n v="0"/>
    <n v="73700"/>
    <n v="0"/>
    <n v="73700"/>
    <n v="0"/>
    <n v="0"/>
  </r>
  <r>
    <s v="E0167"/>
    <x v="5"/>
    <s v="Finance Assistant"/>
    <n v="38800"/>
    <n v="52000"/>
    <n v="0.74615384615384617"/>
    <n v="1164"/>
    <n v="39964"/>
    <n v="8000"/>
    <n v="46800"/>
    <n v="10600"/>
    <n v="49400"/>
    <n v="1"/>
    <n v="1"/>
  </r>
  <r>
    <s v="E0168"/>
    <x v="1"/>
    <s v="HR Assistant"/>
    <n v="42500"/>
    <n v="50000"/>
    <n v="0.85"/>
    <n v="1275"/>
    <n v="43775"/>
    <n v="2500"/>
    <n v="45000"/>
    <n v="5000"/>
    <n v="47500"/>
    <n v="1"/>
    <n v="1"/>
  </r>
  <r>
    <s v="E0169"/>
    <x v="4"/>
    <s v="Administrative Assistant"/>
    <n v="49600"/>
    <n v="48000"/>
    <n v="1.0333333333333334"/>
    <n v="1488"/>
    <n v="51088"/>
    <n v="0"/>
    <n v="49600"/>
    <n v="0"/>
    <n v="49600"/>
    <n v="0"/>
    <n v="0"/>
  </r>
  <r>
    <s v="E0170"/>
    <x v="1"/>
    <s v="HR Advisor"/>
    <n v="59800"/>
    <n v="82000"/>
    <n v="0.72926829268292681"/>
    <n v="1794"/>
    <n v="61594"/>
    <n v="14000"/>
    <n v="73800"/>
    <n v="18100"/>
    <n v="77900"/>
    <n v="1"/>
    <n v="1"/>
  </r>
  <r>
    <s v="E0171"/>
    <x v="1"/>
    <s v="HR Advisor"/>
    <n v="80700"/>
    <n v="82000"/>
    <n v="0.98414634146341462"/>
    <n v="2421"/>
    <n v="83121"/>
    <n v="0"/>
    <n v="80700"/>
    <n v="0"/>
    <n v="80700"/>
    <n v="0"/>
    <n v="0"/>
  </r>
  <r>
    <s v="E0172"/>
    <x v="2"/>
    <s v="Research Assistant"/>
    <n v="47200"/>
    <n v="52000"/>
    <n v="0.90769230769230769"/>
    <n v="1416"/>
    <n v="48616"/>
    <n v="0"/>
    <n v="47200"/>
    <n v="2200"/>
    <n v="49400"/>
    <n v="0"/>
    <n v="1"/>
  </r>
  <r>
    <s v="E0173"/>
    <x v="1"/>
    <s v="HR Assistant"/>
    <n v="52400"/>
    <n v="50000"/>
    <n v="1.048"/>
    <n v="1572"/>
    <n v="53972"/>
    <n v="0"/>
    <n v="52400"/>
    <n v="0"/>
    <n v="52400"/>
    <n v="0"/>
    <n v="0"/>
  </r>
  <r>
    <s v="E0174"/>
    <x v="4"/>
    <s v="Administrative Coordinator"/>
    <n v="59300"/>
    <n v="58000"/>
    <n v="1.0224137931034483"/>
    <n v="1779"/>
    <n v="61079"/>
    <n v="0"/>
    <n v="59300"/>
    <n v="0"/>
    <n v="59300"/>
    <n v="0"/>
    <n v="0"/>
  </r>
  <r>
    <s v="E0175"/>
    <x v="5"/>
    <s v="Finance Assistant"/>
    <n v="56100"/>
    <n v="52000"/>
    <n v="1.0788461538461538"/>
    <n v="1683"/>
    <n v="57783"/>
    <n v="0"/>
    <n v="56100"/>
    <n v="0"/>
    <n v="56100"/>
    <n v="0"/>
    <n v="0"/>
  </r>
  <r>
    <s v="E0176"/>
    <x v="2"/>
    <s v="Research Assistant"/>
    <n v="47100"/>
    <n v="52000"/>
    <n v="0.90576923076923077"/>
    <n v="1413"/>
    <n v="48513"/>
    <n v="0"/>
    <n v="47100"/>
    <n v="2300"/>
    <n v="49400"/>
    <n v="0"/>
    <n v="1"/>
  </r>
  <r>
    <s v="E0177"/>
    <x v="2"/>
    <s v="Policy Analyst"/>
    <n v="56600"/>
    <n v="72000"/>
    <n v="0.78611111111111109"/>
    <n v="1698"/>
    <n v="58298"/>
    <n v="8200"/>
    <n v="64800"/>
    <n v="11800"/>
    <n v="68400"/>
    <n v="1"/>
    <n v="1"/>
  </r>
  <r>
    <s v="E0178"/>
    <x v="2"/>
    <s v="Senior Policy Analyst"/>
    <n v="88000"/>
    <n v="90000"/>
    <n v="0.97777777777777775"/>
    <n v="2640"/>
    <n v="90640"/>
    <n v="0"/>
    <n v="88000"/>
    <n v="0"/>
    <n v="88000"/>
    <n v="0"/>
    <n v="0"/>
  </r>
  <r>
    <s v="E0179"/>
    <x v="3"/>
    <s v="Operations Manager"/>
    <n v="87200"/>
    <n v="85000"/>
    <n v="1.0258823529411765"/>
    <n v="2616"/>
    <n v="89816"/>
    <n v="0"/>
    <n v="87200"/>
    <n v="0"/>
    <n v="87200"/>
    <n v="0"/>
    <n v="0"/>
  </r>
  <r>
    <s v="E0180"/>
    <x v="3"/>
    <s v="Operations Analyst"/>
    <n v="66000"/>
    <n v="68000"/>
    <n v="0.97058823529411764"/>
    <n v="1980"/>
    <n v="67980"/>
    <n v="0"/>
    <n v="66000"/>
    <n v="0"/>
    <n v="66000"/>
    <n v="0"/>
    <n v="0"/>
  </r>
  <r>
    <s v="E0181"/>
    <x v="0"/>
    <s v="Senior Systems Analyst"/>
    <n v="87200"/>
    <n v="98000"/>
    <n v="0.88979591836734695"/>
    <n v="2616"/>
    <n v="89816"/>
    <n v="1000"/>
    <n v="88200"/>
    <n v="5900"/>
    <n v="93100"/>
    <n v="1"/>
    <n v="1"/>
  </r>
  <r>
    <s v="E0182"/>
    <x v="4"/>
    <s v="Administrative Coordinator"/>
    <n v="62700"/>
    <n v="58000"/>
    <n v="1.0810344827586207"/>
    <n v="1881"/>
    <n v="64581"/>
    <n v="0"/>
    <n v="62700"/>
    <n v="0"/>
    <n v="62700"/>
    <n v="0"/>
    <n v="0"/>
  </r>
  <r>
    <s v="E0183"/>
    <x v="4"/>
    <s v="Administrative Coordinator"/>
    <n v="69800"/>
    <n v="58000"/>
    <n v="1.203448275862069"/>
    <n v="2094"/>
    <n v="71894"/>
    <n v="0"/>
    <n v="69800"/>
    <n v="0"/>
    <n v="69800"/>
    <n v="0"/>
    <n v="0"/>
  </r>
  <r>
    <s v="E0184"/>
    <x v="2"/>
    <s v="Senior Policy Analyst"/>
    <n v="90200"/>
    <n v="90000"/>
    <n v="1.0022222222222221"/>
    <n v="2706"/>
    <n v="92906"/>
    <n v="0"/>
    <n v="90200"/>
    <n v="0"/>
    <n v="90200"/>
    <n v="0"/>
    <n v="0"/>
  </r>
  <r>
    <s v="E0185"/>
    <x v="5"/>
    <s v="Finance Assistant"/>
    <n v="48300"/>
    <n v="52000"/>
    <n v="0.92884615384615388"/>
    <n v="1449"/>
    <n v="49749"/>
    <n v="0"/>
    <n v="48300"/>
    <n v="1100"/>
    <n v="49400"/>
    <n v="0"/>
    <n v="1"/>
  </r>
  <r>
    <s v="E0186"/>
    <x v="5"/>
    <s v="Senior Financial Analyst"/>
    <n v="75300"/>
    <n v="88000"/>
    <n v="0.85568181818181821"/>
    <n v="2259"/>
    <n v="77559"/>
    <n v="3900"/>
    <n v="79200"/>
    <n v="8300"/>
    <n v="83600"/>
    <n v="1"/>
    <n v="1"/>
  </r>
  <r>
    <s v="E0187"/>
    <x v="5"/>
    <s v="Senior Financial Analyst"/>
    <n v="79700"/>
    <n v="88000"/>
    <n v="0.90568181818181814"/>
    <n v="2391"/>
    <n v="82091"/>
    <n v="0"/>
    <n v="79700"/>
    <n v="3900"/>
    <n v="83600"/>
    <n v="0"/>
    <n v="1"/>
  </r>
  <r>
    <s v="E0188"/>
    <x v="1"/>
    <s v="HR Advisor"/>
    <n v="78600"/>
    <n v="82000"/>
    <n v="0.95853658536585362"/>
    <n v="2358"/>
    <n v="80958"/>
    <n v="0"/>
    <n v="78600"/>
    <n v="0"/>
    <n v="78600"/>
    <n v="0"/>
    <n v="0"/>
  </r>
  <r>
    <s v="E0189"/>
    <x v="2"/>
    <s v="Research Assistant"/>
    <n v="44700"/>
    <n v="52000"/>
    <n v="0.85961538461538467"/>
    <n v="1341"/>
    <n v="46041"/>
    <n v="2100"/>
    <n v="46800"/>
    <n v="4700"/>
    <n v="49400"/>
    <n v="1"/>
    <n v="1"/>
  </r>
  <r>
    <s v="E0190"/>
    <x v="5"/>
    <s v="Finance Assistant"/>
    <n v="45700"/>
    <n v="52000"/>
    <n v="0.87884615384615383"/>
    <n v="1371"/>
    <n v="47071"/>
    <n v="1100"/>
    <n v="46800"/>
    <n v="3700"/>
    <n v="49400"/>
    <n v="1"/>
    <n v="1"/>
  </r>
  <r>
    <s v="E0191"/>
    <x v="0"/>
    <s v="IT Support Analyst"/>
    <n v="55700"/>
    <n v="58000"/>
    <n v="0.96034482758620687"/>
    <n v="1671"/>
    <n v="57371"/>
    <n v="0"/>
    <n v="55700"/>
    <n v="0"/>
    <n v="55700"/>
    <n v="0"/>
    <n v="0"/>
  </r>
  <r>
    <s v="E0192"/>
    <x v="4"/>
    <s v="Office Manager"/>
    <n v="76500"/>
    <n v="72000"/>
    <n v="1.0625"/>
    <n v="2295"/>
    <n v="78795"/>
    <n v="0"/>
    <n v="76500"/>
    <n v="0"/>
    <n v="76500"/>
    <n v="0"/>
    <n v="0"/>
  </r>
  <r>
    <s v="E0193"/>
    <x v="3"/>
    <s v="Operations Manager"/>
    <n v="79800"/>
    <n v="85000"/>
    <n v="0.93882352941176472"/>
    <n v="2394"/>
    <n v="82194"/>
    <n v="0"/>
    <n v="79800"/>
    <n v="950"/>
    <n v="80750"/>
    <n v="0"/>
    <n v="1"/>
  </r>
  <r>
    <s v="E0194"/>
    <x v="2"/>
    <s v="Research Assistant"/>
    <n v="50200"/>
    <n v="52000"/>
    <n v="0.9653846153846154"/>
    <n v="1506"/>
    <n v="51706"/>
    <n v="0"/>
    <n v="50200"/>
    <n v="0"/>
    <n v="50200"/>
    <n v="0"/>
    <n v="0"/>
  </r>
  <r>
    <s v="E0195"/>
    <x v="1"/>
    <s v="HR Analyst"/>
    <n v="74000"/>
    <n v="68000"/>
    <n v="1.088235294117647"/>
    <n v="2220"/>
    <n v="76220"/>
    <n v="0"/>
    <n v="74000"/>
    <n v="0"/>
    <n v="74000"/>
    <n v="0"/>
    <n v="0"/>
  </r>
  <r>
    <s v="E0196"/>
    <x v="0"/>
    <s v="IT Support Analyst"/>
    <n v="39700"/>
    <n v="58000"/>
    <n v="0.68448275862068964"/>
    <n v="1191"/>
    <n v="40891"/>
    <n v="12500"/>
    <n v="52200"/>
    <n v="15400"/>
    <n v="55100"/>
    <n v="1"/>
    <n v="1"/>
  </r>
  <r>
    <s v="E0197"/>
    <x v="1"/>
    <s v="HR Advisor"/>
    <n v="66400"/>
    <n v="82000"/>
    <n v="0.80975609756097566"/>
    <n v="1992"/>
    <n v="68392"/>
    <n v="7400"/>
    <n v="73800"/>
    <n v="11500"/>
    <n v="77900"/>
    <n v="1"/>
    <n v="1"/>
  </r>
  <r>
    <s v="E0198"/>
    <x v="3"/>
    <s v="Operations Analyst"/>
    <n v="59300"/>
    <n v="68000"/>
    <n v="0.87205882352941178"/>
    <n v="1779"/>
    <n v="61079"/>
    <n v="1900"/>
    <n v="61200"/>
    <n v="5300"/>
    <n v="64600"/>
    <n v="1"/>
    <n v="1"/>
  </r>
  <r>
    <s v="E0199"/>
    <x v="0"/>
    <s v="Systems Analyst"/>
    <n v="79700"/>
    <n v="78000"/>
    <n v="1.0217948717948717"/>
    <n v="2391"/>
    <n v="82091"/>
    <n v="0"/>
    <n v="79700"/>
    <n v="0"/>
    <n v="79700"/>
    <n v="0"/>
    <n v="0"/>
  </r>
  <r>
    <s v="E0200"/>
    <x v="2"/>
    <s v="Policy Analyst"/>
    <n v="60300"/>
    <n v="72000"/>
    <n v="0.83750000000000002"/>
    <n v="1809"/>
    <n v="62109"/>
    <n v="4500"/>
    <n v="64800"/>
    <n v="8100"/>
    <n v="68400"/>
    <n v="1"/>
    <n v="1"/>
  </r>
  <r>
    <s v="E0201"/>
    <x v="1"/>
    <s v="HR Assistant"/>
    <n v="53700"/>
    <n v="50000"/>
    <n v="1.0740000000000001"/>
    <n v="1611"/>
    <n v="55311"/>
    <n v="0"/>
    <n v="53700"/>
    <n v="0"/>
    <n v="53700"/>
    <n v="0"/>
    <n v="0"/>
  </r>
  <r>
    <s v="E0202"/>
    <x v="0"/>
    <s v="IT Support Analyst"/>
    <n v="57500"/>
    <n v="58000"/>
    <n v="0.99137931034482762"/>
    <n v="1725"/>
    <n v="59225"/>
    <n v="0"/>
    <n v="57500"/>
    <n v="0"/>
    <n v="57500"/>
    <n v="0"/>
    <n v="0"/>
  </r>
  <r>
    <s v="E0203"/>
    <x v="5"/>
    <s v="Senior Financial Analyst"/>
    <n v="86500"/>
    <n v="88000"/>
    <n v="0.98295454545454541"/>
    <n v="2595"/>
    <n v="89095"/>
    <n v="0"/>
    <n v="86500"/>
    <n v="0"/>
    <n v="86500"/>
    <n v="0"/>
    <n v="0"/>
  </r>
  <r>
    <s v="E0204"/>
    <x v="0"/>
    <s v="Systems Analyst"/>
    <n v="64300"/>
    <n v="78000"/>
    <n v="0.82435897435897432"/>
    <n v="1929"/>
    <n v="66229"/>
    <n v="5900"/>
    <n v="70200"/>
    <n v="9800"/>
    <n v="74100"/>
    <n v="1"/>
    <n v="1"/>
  </r>
  <r>
    <s v="E0205"/>
    <x v="2"/>
    <s v="Senior Policy Analyst"/>
    <n v="82500"/>
    <n v="90000"/>
    <n v="0.91666666666666663"/>
    <n v="2475"/>
    <n v="84975"/>
    <n v="0"/>
    <n v="82500"/>
    <n v="3000"/>
    <n v="85500"/>
    <n v="0"/>
    <n v="1"/>
  </r>
  <r>
    <s v="E0206"/>
    <x v="0"/>
    <s v="IT Support Analyst"/>
    <n v="54500"/>
    <n v="58000"/>
    <n v="0.93965517241379315"/>
    <n v="1635"/>
    <n v="56135"/>
    <n v="0"/>
    <n v="54500"/>
    <n v="600"/>
    <n v="55100"/>
    <n v="0"/>
    <n v="1"/>
  </r>
  <r>
    <s v="E0207"/>
    <x v="3"/>
    <s v="Operations Assistant"/>
    <n v="45700"/>
    <n v="50000"/>
    <n v="0.91400000000000003"/>
    <n v="1371"/>
    <n v="47071"/>
    <n v="0"/>
    <n v="45700"/>
    <n v="1800"/>
    <n v="47500"/>
    <n v="0"/>
    <n v="1"/>
  </r>
  <r>
    <s v="E0208"/>
    <x v="3"/>
    <s v="Operations Manager"/>
    <n v="82900"/>
    <n v="85000"/>
    <n v="0.97529411764705887"/>
    <n v="2487"/>
    <n v="85387"/>
    <n v="0"/>
    <n v="82900"/>
    <n v="0"/>
    <n v="82900"/>
    <n v="0"/>
    <n v="0"/>
  </r>
  <r>
    <s v="E0209"/>
    <x v="4"/>
    <s v="Administrative Coordinator"/>
    <n v="60100"/>
    <n v="58000"/>
    <n v="1.0362068965517242"/>
    <n v="1803"/>
    <n v="61903"/>
    <n v="0"/>
    <n v="60100"/>
    <n v="0"/>
    <n v="60100"/>
    <n v="0"/>
    <n v="0"/>
  </r>
  <r>
    <s v="E0210"/>
    <x v="4"/>
    <s v="Office Manager"/>
    <n v="76000"/>
    <n v="72000"/>
    <n v="1.0555555555555556"/>
    <n v="2280"/>
    <n v="78280"/>
    <n v="0"/>
    <n v="76000"/>
    <n v="0"/>
    <n v="76000"/>
    <n v="0"/>
    <n v="0"/>
  </r>
  <r>
    <s v="E0211"/>
    <x v="1"/>
    <s v="HR Analyst"/>
    <n v="66600"/>
    <n v="68000"/>
    <n v="0.97941176470588232"/>
    <n v="1998"/>
    <n v="68598"/>
    <n v="0"/>
    <n v="66600"/>
    <n v="0"/>
    <n v="66600"/>
    <n v="0"/>
    <n v="0"/>
  </r>
  <r>
    <s v="E0212"/>
    <x v="2"/>
    <s v="Senior Policy Analyst"/>
    <n v="91100"/>
    <n v="90000"/>
    <n v="1.0122222222222221"/>
    <n v="2733"/>
    <n v="93833"/>
    <n v="0"/>
    <n v="91100"/>
    <n v="0"/>
    <n v="91100"/>
    <n v="0"/>
    <n v="0"/>
  </r>
  <r>
    <s v="E0213"/>
    <x v="2"/>
    <s v="Policy Analyst"/>
    <n v="67300"/>
    <n v="72000"/>
    <n v="0.93472222222222223"/>
    <n v="2019"/>
    <n v="69319"/>
    <n v="0"/>
    <n v="67300"/>
    <n v="1100"/>
    <n v="68400"/>
    <n v="0"/>
    <n v="1"/>
  </r>
  <r>
    <s v="E0214"/>
    <x v="3"/>
    <s v="Operations Analyst"/>
    <n v="60000"/>
    <n v="68000"/>
    <n v="0.88235294117647056"/>
    <n v="1800"/>
    <n v="61800"/>
    <n v="1200"/>
    <n v="61200"/>
    <n v="4600"/>
    <n v="64600"/>
    <n v="1"/>
    <n v="1"/>
  </r>
  <r>
    <s v="E0215"/>
    <x v="5"/>
    <s v="Financial Analyst"/>
    <n v="72900"/>
    <n v="70000"/>
    <n v="1.0414285714285714"/>
    <n v="2187"/>
    <n v="75087"/>
    <n v="0"/>
    <n v="72900"/>
    <n v="0"/>
    <n v="72900"/>
    <n v="0"/>
    <n v="0"/>
  </r>
  <r>
    <s v="E0216"/>
    <x v="5"/>
    <s v="Finance Assistant"/>
    <n v="44600"/>
    <n v="52000"/>
    <n v="0.85769230769230764"/>
    <n v="1338"/>
    <n v="45938"/>
    <n v="2200"/>
    <n v="46800"/>
    <n v="4800"/>
    <n v="49400"/>
    <n v="1"/>
    <n v="1"/>
  </r>
  <r>
    <s v="E0217"/>
    <x v="2"/>
    <s v="Research Assistant"/>
    <n v="46200"/>
    <n v="52000"/>
    <n v="0.88846153846153841"/>
    <n v="1386"/>
    <n v="47586"/>
    <n v="600"/>
    <n v="46800"/>
    <n v="3200"/>
    <n v="49400"/>
    <n v="1"/>
    <n v="1"/>
  </r>
  <r>
    <s v="E0218"/>
    <x v="0"/>
    <s v="Systems Analyst"/>
    <n v="74300"/>
    <n v="78000"/>
    <n v="0.95256410256410251"/>
    <n v="2229"/>
    <n v="76529"/>
    <n v="0"/>
    <n v="74300"/>
    <n v="0"/>
    <n v="74300"/>
    <n v="0"/>
    <n v="0"/>
  </r>
  <r>
    <s v="E0219"/>
    <x v="2"/>
    <s v="Senior Policy Analyst"/>
    <n v="92900"/>
    <n v="90000"/>
    <n v="1.0322222222222222"/>
    <n v="2787"/>
    <n v="95687"/>
    <n v="0"/>
    <n v="92900"/>
    <n v="0"/>
    <n v="92900"/>
    <n v="0"/>
    <n v="0"/>
  </r>
  <r>
    <s v="E0220"/>
    <x v="1"/>
    <s v="HR Advisor"/>
    <n v="76900"/>
    <n v="82000"/>
    <n v="0.93780487804878043"/>
    <n v="2307"/>
    <n v="79207"/>
    <n v="0"/>
    <n v="76900"/>
    <n v="1000"/>
    <n v="77900"/>
    <n v="0"/>
    <n v="1"/>
  </r>
  <r>
    <s v="E0221"/>
    <x v="5"/>
    <s v="Senior Financial Analyst"/>
    <n v="83200"/>
    <n v="88000"/>
    <n v="0.94545454545454544"/>
    <n v="2496"/>
    <n v="85696"/>
    <n v="0"/>
    <n v="83200"/>
    <n v="400"/>
    <n v="83600"/>
    <n v="0"/>
    <n v="1"/>
  </r>
  <r>
    <s v="E0222"/>
    <x v="5"/>
    <s v="Senior Financial Analyst"/>
    <n v="73800"/>
    <n v="88000"/>
    <n v="0.83863636363636362"/>
    <n v="2214"/>
    <n v="76014"/>
    <n v="5400"/>
    <n v="79200"/>
    <n v="9800"/>
    <n v="83600"/>
    <n v="1"/>
    <n v="1"/>
  </r>
  <r>
    <s v="E0223"/>
    <x v="0"/>
    <s v="Senior Systems Analyst"/>
    <n v="76500"/>
    <n v="98000"/>
    <n v="0.78061224489795922"/>
    <n v="2295"/>
    <n v="78795"/>
    <n v="11700"/>
    <n v="88200"/>
    <n v="16600"/>
    <n v="93100"/>
    <n v="1"/>
    <n v="1"/>
  </r>
  <r>
    <s v="E0224"/>
    <x v="5"/>
    <s v="Financial Analyst"/>
    <n v="73400"/>
    <n v="70000"/>
    <n v="1.0485714285714285"/>
    <n v="2202"/>
    <n v="75602"/>
    <n v="0"/>
    <n v="73400"/>
    <n v="0"/>
    <n v="73400"/>
    <n v="0"/>
    <n v="0"/>
  </r>
  <r>
    <s v="E0225"/>
    <x v="4"/>
    <s v="Administrative Assistant"/>
    <n v="41800"/>
    <n v="48000"/>
    <n v="0.87083333333333335"/>
    <n v="1254"/>
    <n v="43054"/>
    <n v="1400"/>
    <n v="43200"/>
    <n v="3800"/>
    <n v="45600"/>
    <n v="1"/>
    <n v="1"/>
  </r>
  <r>
    <s v="E0226"/>
    <x v="5"/>
    <s v="Finance Assistant"/>
    <n v="49000"/>
    <n v="52000"/>
    <n v="0.94230769230769229"/>
    <n v="1470"/>
    <n v="50470"/>
    <n v="0"/>
    <n v="49000"/>
    <n v="400"/>
    <n v="49400"/>
    <n v="0"/>
    <n v="1"/>
  </r>
  <r>
    <s v="E0227"/>
    <x v="3"/>
    <s v="Operations Analyst"/>
    <n v="71300"/>
    <n v="68000"/>
    <n v="1.0485294117647059"/>
    <n v="2139"/>
    <n v="73439"/>
    <n v="0"/>
    <n v="71300"/>
    <n v="0"/>
    <n v="71300"/>
    <n v="0"/>
    <n v="0"/>
  </r>
  <r>
    <s v="E0228"/>
    <x v="4"/>
    <s v="Administrative Assistant"/>
    <n v="42700"/>
    <n v="48000"/>
    <n v="0.88958333333333328"/>
    <n v="1281"/>
    <n v="43981"/>
    <n v="500"/>
    <n v="43200"/>
    <n v="2900"/>
    <n v="45600"/>
    <n v="1"/>
    <n v="1"/>
  </r>
  <r>
    <s v="E0229"/>
    <x v="4"/>
    <s v="Office Manager"/>
    <n v="71100"/>
    <n v="72000"/>
    <n v="0.98750000000000004"/>
    <n v="2133"/>
    <n v="73233"/>
    <n v="0"/>
    <n v="71100"/>
    <n v="0"/>
    <n v="71100"/>
    <n v="0"/>
    <n v="0"/>
  </r>
  <r>
    <s v="E0230"/>
    <x v="2"/>
    <s v="Research Assistant"/>
    <n v="52600"/>
    <n v="52000"/>
    <n v="1.0115384615384615"/>
    <n v="1578"/>
    <n v="54178"/>
    <n v="0"/>
    <n v="52600"/>
    <n v="0"/>
    <n v="52600"/>
    <n v="0"/>
    <n v="0"/>
  </r>
  <r>
    <s v="E0231"/>
    <x v="3"/>
    <s v="Operations Assistant"/>
    <n v="49600"/>
    <n v="50000"/>
    <n v="0.99199999999999999"/>
    <n v="1488"/>
    <n v="51088"/>
    <n v="0"/>
    <n v="49600"/>
    <n v="0"/>
    <n v="49600"/>
    <n v="0"/>
    <n v="0"/>
  </r>
  <r>
    <s v="E0232"/>
    <x v="5"/>
    <s v="Finance Assistant"/>
    <n v="50500"/>
    <n v="52000"/>
    <n v="0.97115384615384615"/>
    <n v="1515"/>
    <n v="52015"/>
    <n v="0"/>
    <n v="50500"/>
    <n v="0"/>
    <n v="50500"/>
    <n v="0"/>
    <n v="0"/>
  </r>
  <r>
    <s v="E0233"/>
    <x v="2"/>
    <s v="Senior Policy Analyst"/>
    <n v="83700"/>
    <n v="90000"/>
    <n v="0.93"/>
    <n v="2511"/>
    <n v="86211"/>
    <n v="0"/>
    <n v="83700"/>
    <n v="1800"/>
    <n v="85500"/>
    <n v="0"/>
    <n v="1"/>
  </r>
  <r>
    <s v="E0234"/>
    <x v="2"/>
    <s v="Policy Analyst"/>
    <n v="61500"/>
    <n v="72000"/>
    <n v="0.85416666666666663"/>
    <n v="1845"/>
    <n v="63345"/>
    <n v="3300"/>
    <n v="64800"/>
    <n v="6900"/>
    <n v="68400"/>
    <n v="1"/>
    <n v="1"/>
  </r>
  <r>
    <s v="E0235"/>
    <x v="5"/>
    <s v="Senior Financial Analyst"/>
    <n v="72400"/>
    <n v="88000"/>
    <n v="0.82272727272727275"/>
    <n v="2172"/>
    <n v="74572"/>
    <n v="6800"/>
    <n v="79200"/>
    <n v="11200"/>
    <n v="83600"/>
    <n v="1"/>
    <n v="1"/>
  </r>
  <r>
    <s v="E0236"/>
    <x v="0"/>
    <s v="IT Support Analyst"/>
    <n v="63300"/>
    <n v="58000"/>
    <n v="1.0913793103448275"/>
    <n v="1899"/>
    <n v="65199"/>
    <n v="0"/>
    <n v="63300"/>
    <n v="0"/>
    <n v="63300"/>
    <n v="0"/>
    <n v="0"/>
  </r>
  <r>
    <s v="E0237"/>
    <x v="1"/>
    <s v="HR Analyst"/>
    <n v="65800"/>
    <n v="68000"/>
    <n v="0.96764705882352942"/>
    <n v="1974"/>
    <n v="67774"/>
    <n v="0"/>
    <n v="65800"/>
    <n v="0"/>
    <n v="65800"/>
    <n v="0"/>
    <n v="0"/>
  </r>
  <r>
    <s v="E0238"/>
    <x v="3"/>
    <s v="Operations Assistant"/>
    <n v="54400"/>
    <n v="50000"/>
    <n v="1.0880000000000001"/>
    <n v="1632"/>
    <n v="56032"/>
    <n v="0"/>
    <n v="54400"/>
    <n v="0"/>
    <n v="54400"/>
    <n v="0"/>
    <n v="0"/>
  </r>
  <r>
    <s v="E0239"/>
    <x v="2"/>
    <s v="Policy Analyst"/>
    <n v="73500"/>
    <n v="72000"/>
    <n v="1.0208333333333333"/>
    <n v="2205"/>
    <n v="75705"/>
    <n v="0"/>
    <n v="73500"/>
    <n v="0"/>
    <n v="73500"/>
    <n v="0"/>
    <n v="0"/>
  </r>
  <r>
    <s v="E0240"/>
    <x v="1"/>
    <s v="HR Advisor"/>
    <n v="78300"/>
    <n v="82000"/>
    <n v="0.95487804878048776"/>
    <n v="2349"/>
    <n v="80649"/>
    <n v="0"/>
    <n v="78300"/>
    <n v="0"/>
    <n v="78300"/>
    <n v="0"/>
    <n v="0"/>
  </r>
  <r>
    <s v="E0241"/>
    <x v="2"/>
    <s v="Policy Analyst"/>
    <n v="85000"/>
    <n v="72000"/>
    <n v="1.1805555555555556"/>
    <n v="2550"/>
    <n v="87550"/>
    <n v="0"/>
    <n v="85000"/>
    <n v="0"/>
    <n v="85000"/>
    <n v="0"/>
    <n v="0"/>
  </r>
  <r>
    <s v="E0242"/>
    <x v="0"/>
    <s v="Senior Systems Analyst"/>
    <n v="89500"/>
    <n v="98000"/>
    <n v="0.91326530612244894"/>
    <n v="2685"/>
    <n v="92185"/>
    <n v="0"/>
    <n v="89500"/>
    <n v="3600"/>
    <n v="93100"/>
    <n v="0"/>
    <n v="1"/>
  </r>
  <r>
    <s v="E0243"/>
    <x v="0"/>
    <s v="IT Support Analyst"/>
    <n v="53400"/>
    <n v="58000"/>
    <n v="0.92068965517241375"/>
    <n v="1602"/>
    <n v="55002"/>
    <n v="0"/>
    <n v="53400"/>
    <n v="1700"/>
    <n v="55100"/>
    <n v="0"/>
    <n v="1"/>
  </r>
  <r>
    <s v="E0244"/>
    <x v="3"/>
    <s v="Operations Analyst"/>
    <n v="59100"/>
    <n v="68000"/>
    <n v="0.86911764705882355"/>
    <n v="1773"/>
    <n v="60873"/>
    <n v="2100"/>
    <n v="61200"/>
    <n v="5500"/>
    <n v="64600"/>
    <n v="1"/>
    <n v="1"/>
  </r>
  <r>
    <s v="E0245"/>
    <x v="2"/>
    <s v="Research Assistant"/>
    <n v="49200"/>
    <n v="52000"/>
    <n v="0.94615384615384612"/>
    <n v="1476"/>
    <n v="50676"/>
    <n v="0"/>
    <n v="49200"/>
    <n v="200"/>
    <n v="49400"/>
    <n v="0"/>
    <n v="1"/>
  </r>
  <r>
    <s v="E0246"/>
    <x v="4"/>
    <s v="Administrative Assistant"/>
    <n v="46700"/>
    <n v="48000"/>
    <n v="0.97291666666666665"/>
    <n v="1401"/>
    <n v="48101"/>
    <n v="0"/>
    <n v="46700"/>
    <n v="0"/>
    <n v="46700"/>
    <n v="0"/>
    <n v="0"/>
  </r>
  <r>
    <s v="E0247"/>
    <x v="5"/>
    <s v="Finance Assistant"/>
    <n v="54500"/>
    <n v="52000"/>
    <n v="1.0480769230769231"/>
    <n v="1635"/>
    <n v="56135"/>
    <n v="0"/>
    <n v="54500"/>
    <n v="0"/>
    <n v="54500"/>
    <n v="0"/>
    <n v="0"/>
  </r>
  <r>
    <s v="E0248"/>
    <x v="3"/>
    <s v="Operations Manager"/>
    <n v="78900"/>
    <n v="85000"/>
    <n v="0.92823529411764705"/>
    <n v="2367"/>
    <n v="81267"/>
    <n v="0"/>
    <n v="78900"/>
    <n v="1850"/>
    <n v="80750"/>
    <n v="0"/>
    <n v="1"/>
  </r>
  <r>
    <s v="E0249"/>
    <x v="0"/>
    <s v="Senior Systems Analyst"/>
    <n v="104500"/>
    <n v="98000"/>
    <n v="1.0663265306122449"/>
    <n v="3135"/>
    <n v="107635"/>
    <n v="0"/>
    <n v="104500"/>
    <n v="0"/>
    <n v="104500"/>
    <n v="0"/>
    <n v="0"/>
  </r>
  <r>
    <s v="E0250"/>
    <x v="2"/>
    <s v="Policy Analyst"/>
    <n v="80100"/>
    <n v="72000"/>
    <n v="1.1125"/>
    <n v="2403"/>
    <n v="82503"/>
    <n v="0"/>
    <n v="80100"/>
    <n v="0"/>
    <n v="80100"/>
    <n v="0"/>
    <n v="0"/>
  </r>
  <r>
    <s v="E0251"/>
    <x v="4"/>
    <s v="Administrative Coordinator"/>
    <n v="51400"/>
    <n v="58000"/>
    <n v="0.88620689655172413"/>
    <n v="1542"/>
    <n v="52942"/>
    <n v="800"/>
    <n v="52200"/>
    <n v="3700"/>
    <n v="55100"/>
    <n v="1"/>
    <n v="1"/>
  </r>
  <r>
    <s v="E0252"/>
    <x v="2"/>
    <s v="Policy Analyst"/>
    <n v="77000"/>
    <n v="72000"/>
    <n v="1.0694444444444444"/>
    <n v="2310"/>
    <n v="79310"/>
    <n v="0"/>
    <n v="77000"/>
    <n v="0"/>
    <n v="77000"/>
    <n v="0"/>
    <n v="0"/>
  </r>
  <r>
    <s v="E0253"/>
    <x v="4"/>
    <s v="Office Manager"/>
    <n v="65700"/>
    <n v="72000"/>
    <n v="0.91249999999999998"/>
    <n v="1971"/>
    <n v="67671"/>
    <n v="0"/>
    <n v="65700"/>
    <n v="2700"/>
    <n v="68400"/>
    <n v="0"/>
    <n v="1"/>
  </r>
  <r>
    <s v="E0254"/>
    <x v="5"/>
    <s v="Financial Analyst"/>
    <n v="58300"/>
    <n v="70000"/>
    <n v="0.83285714285714285"/>
    <n v="1749"/>
    <n v="60049"/>
    <n v="4700"/>
    <n v="63000"/>
    <n v="8200"/>
    <n v="66500"/>
    <n v="1"/>
    <n v="1"/>
  </r>
  <r>
    <s v="E0255"/>
    <x v="1"/>
    <s v="HR Analyst"/>
    <n v="80600"/>
    <n v="68000"/>
    <n v="1.1852941176470588"/>
    <n v="2418"/>
    <n v="83018"/>
    <n v="0"/>
    <n v="80600"/>
    <n v="0"/>
    <n v="80600"/>
    <n v="0"/>
    <n v="0"/>
  </r>
  <r>
    <s v="E0256"/>
    <x v="3"/>
    <s v="Operations Assistant"/>
    <n v="52200"/>
    <n v="50000"/>
    <n v="1.044"/>
    <n v="1566"/>
    <n v="53766"/>
    <n v="0"/>
    <n v="52200"/>
    <n v="0"/>
    <n v="52200"/>
    <n v="0"/>
    <n v="0"/>
  </r>
  <r>
    <s v="E0257"/>
    <x v="1"/>
    <s v="HR Advisor"/>
    <n v="82100"/>
    <n v="82000"/>
    <n v="1.001219512195122"/>
    <n v="2463"/>
    <n v="84563"/>
    <n v="0"/>
    <n v="82100"/>
    <n v="0"/>
    <n v="82100"/>
    <n v="0"/>
    <n v="0"/>
  </r>
  <r>
    <s v="E0258"/>
    <x v="1"/>
    <s v="HR Advisor"/>
    <n v="76300"/>
    <n v="82000"/>
    <n v="0.93048780487804883"/>
    <n v="2289"/>
    <n v="78589"/>
    <n v="0"/>
    <n v="76300"/>
    <n v="1600"/>
    <n v="77900"/>
    <n v="0"/>
    <n v="1"/>
  </r>
  <r>
    <s v="E0259"/>
    <x v="3"/>
    <s v="Operations Manager"/>
    <n v="85400"/>
    <n v="85000"/>
    <n v="1.0047058823529411"/>
    <n v="2562"/>
    <n v="87962"/>
    <n v="0"/>
    <n v="85400"/>
    <n v="0"/>
    <n v="85400"/>
    <n v="0"/>
    <n v="0"/>
  </r>
  <r>
    <s v="E0260"/>
    <x v="2"/>
    <s v="Research Assistant"/>
    <n v="49600"/>
    <n v="52000"/>
    <n v="0.9538461538461539"/>
    <n v="1488"/>
    <n v="51088"/>
    <n v="0"/>
    <n v="49600"/>
    <n v="0"/>
    <n v="49600"/>
    <n v="0"/>
    <n v="0"/>
  </r>
  <r>
    <s v="E0261"/>
    <x v="2"/>
    <s v="Policy Analyst"/>
    <n v="77900"/>
    <n v="72000"/>
    <n v="1.0819444444444444"/>
    <n v="2337"/>
    <n v="80237"/>
    <n v="0"/>
    <n v="77900"/>
    <n v="0"/>
    <n v="77900"/>
    <n v="0"/>
    <n v="0"/>
  </r>
  <r>
    <s v="E0262"/>
    <x v="1"/>
    <s v="HR Assistant"/>
    <n v="41800"/>
    <n v="50000"/>
    <n v="0.83599999999999997"/>
    <n v="1254"/>
    <n v="43054"/>
    <n v="3200"/>
    <n v="45000"/>
    <n v="5700"/>
    <n v="47500"/>
    <n v="1"/>
    <n v="1"/>
  </r>
  <r>
    <s v="E0263"/>
    <x v="1"/>
    <s v="HR Assistant"/>
    <n v="50000"/>
    <n v="50000"/>
    <n v="1"/>
    <n v="1500"/>
    <n v="51500"/>
    <n v="0"/>
    <n v="50000"/>
    <n v="0"/>
    <n v="50000"/>
    <n v="0"/>
    <n v="0"/>
  </r>
  <r>
    <s v="E0264"/>
    <x v="5"/>
    <s v="Senior Financial Analyst"/>
    <n v="91100"/>
    <n v="88000"/>
    <n v="1.0352272727272727"/>
    <n v="2733"/>
    <n v="93833"/>
    <n v="0"/>
    <n v="91100"/>
    <n v="0"/>
    <n v="91100"/>
    <n v="0"/>
    <n v="0"/>
  </r>
  <r>
    <s v="E0265"/>
    <x v="2"/>
    <s v="Senior Policy Analyst"/>
    <n v="82200"/>
    <n v="90000"/>
    <n v="0.91333333333333333"/>
    <n v="2466"/>
    <n v="84666"/>
    <n v="0"/>
    <n v="82200"/>
    <n v="3300"/>
    <n v="85500"/>
    <n v="0"/>
    <n v="1"/>
  </r>
  <r>
    <s v="E0266"/>
    <x v="3"/>
    <s v="Operations Manager"/>
    <n v="73700"/>
    <n v="85000"/>
    <n v="0.86705882352941177"/>
    <n v="2211"/>
    <n v="75911"/>
    <n v="2800"/>
    <n v="76500"/>
    <n v="7050"/>
    <n v="80750"/>
    <n v="1"/>
    <n v="1"/>
  </r>
  <r>
    <s v="E0267"/>
    <x v="3"/>
    <s v="Operations Assistant"/>
    <n v="51600"/>
    <n v="50000"/>
    <n v="1.032"/>
    <n v="1548"/>
    <n v="53148"/>
    <n v="0"/>
    <n v="51600"/>
    <n v="0"/>
    <n v="51600"/>
    <n v="0"/>
    <n v="0"/>
  </r>
  <r>
    <s v="E0268"/>
    <x v="4"/>
    <s v="Administrative Assistant"/>
    <n v="38500"/>
    <n v="48000"/>
    <n v="0.80208333333333337"/>
    <n v="1155"/>
    <n v="39655"/>
    <n v="4700"/>
    <n v="43200"/>
    <n v="7100"/>
    <n v="45600"/>
    <n v="1"/>
    <n v="1"/>
  </r>
  <r>
    <s v="E0269"/>
    <x v="5"/>
    <s v="Finance Assistant"/>
    <n v="55600"/>
    <n v="52000"/>
    <n v="1.0692307692307692"/>
    <n v="1668"/>
    <n v="57268"/>
    <n v="0"/>
    <n v="55600"/>
    <n v="0"/>
    <n v="55600"/>
    <n v="0"/>
    <n v="0"/>
  </r>
  <r>
    <s v="E0270"/>
    <x v="0"/>
    <s v="Senior Systems Analyst"/>
    <n v="90800"/>
    <n v="98000"/>
    <n v="0.92653061224489797"/>
    <n v="2724"/>
    <n v="93524"/>
    <n v="0"/>
    <n v="90800"/>
    <n v="2300"/>
    <n v="93100"/>
    <n v="0"/>
    <n v="1"/>
  </r>
  <r>
    <s v="E0271"/>
    <x v="0"/>
    <s v="Systems Analyst"/>
    <n v="71300"/>
    <n v="78000"/>
    <n v="0.91410256410256407"/>
    <n v="2139"/>
    <n v="73439"/>
    <n v="0"/>
    <n v="71300"/>
    <n v="2800"/>
    <n v="74100"/>
    <n v="0"/>
    <n v="1"/>
  </r>
  <r>
    <s v="E0272"/>
    <x v="5"/>
    <s v="Financial Analyst"/>
    <n v="67700"/>
    <n v="70000"/>
    <n v="0.96714285714285719"/>
    <n v="2031"/>
    <n v="69731"/>
    <n v="0"/>
    <n v="67700"/>
    <n v="0"/>
    <n v="67700"/>
    <n v="0"/>
    <n v="0"/>
  </r>
  <r>
    <s v="E0273"/>
    <x v="1"/>
    <s v="HR Analyst"/>
    <n v="60600"/>
    <n v="68000"/>
    <n v="0.89117647058823535"/>
    <n v="1818"/>
    <n v="62418"/>
    <n v="600"/>
    <n v="61200"/>
    <n v="4000"/>
    <n v="64600"/>
    <n v="1"/>
    <n v="1"/>
  </r>
  <r>
    <s v="E0274"/>
    <x v="1"/>
    <s v="HR Advisor"/>
    <n v="93600"/>
    <n v="82000"/>
    <n v="1.1414634146341462"/>
    <n v="2808"/>
    <n v="96408"/>
    <n v="0"/>
    <n v="93600"/>
    <n v="0"/>
    <n v="93600"/>
    <n v="0"/>
    <n v="0"/>
  </r>
  <r>
    <s v="E0275"/>
    <x v="2"/>
    <s v="Senior Policy Analyst"/>
    <n v="99600"/>
    <n v="90000"/>
    <n v="1.1066666666666667"/>
    <n v="2988"/>
    <n v="102588"/>
    <n v="0"/>
    <n v="99600"/>
    <n v="0"/>
    <n v="99600"/>
    <n v="0"/>
    <n v="0"/>
  </r>
  <r>
    <s v="E0276"/>
    <x v="5"/>
    <s v="Senior Financial Analyst"/>
    <n v="83000"/>
    <n v="88000"/>
    <n v="0.94318181818181823"/>
    <n v="2490"/>
    <n v="85490"/>
    <n v="0"/>
    <n v="83000"/>
    <n v="600"/>
    <n v="83600"/>
    <n v="0"/>
    <n v="1"/>
  </r>
  <r>
    <s v="E0277"/>
    <x v="2"/>
    <s v="Research Assistant"/>
    <n v="51700"/>
    <n v="52000"/>
    <n v="0.99423076923076925"/>
    <n v="1551"/>
    <n v="53251"/>
    <n v="0"/>
    <n v="51700"/>
    <n v="0"/>
    <n v="51700"/>
    <n v="0"/>
    <n v="0"/>
  </r>
  <r>
    <s v="E0278"/>
    <x v="2"/>
    <s v="Senior Policy Analyst"/>
    <n v="81000"/>
    <n v="90000"/>
    <n v="0.9"/>
    <n v="2430"/>
    <n v="83430"/>
    <n v="0"/>
    <n v="81000"/>
    <n v="4500"/>
    <n v="85500"/>
    <n v="0"/>
    <n v="1"/>
  </r>
  <r>
    <s v="E0279"/>
    <x v="3"/>
    <s v="Operations Analyst"/>
    <n v="69000"/>
    <n v="68000"/>
    <n v="1.0147058823529411"/>
    <n v="2070"/>
    <n v="71070"/>
    <n v="0"/>
    <n v="69000"/>
    <n v="0"/>
    <n v="69000"/>
    <n v="0"/>
    <n v="0"/>
  </r>
  <r>
    <s v="E0280"/>
    <x v="2"/>
    <s v="Senior Policy Analyst"/>
    <n v="84600"/>
    <n v="90000"/>
    <n v="0.94"/>
    <n v="2538"/>
    <n v="87138"/>
    <n v="0"/>
    <n v="84600"/>
    <n v="900"/>
    <n v="85500"/>
    <n v="0"/>
    <n v="1"/>
  </r>
  <r>
    <s v="E0281"/>
    <x v="4"/>
    <s v="Administrative Assistant"/>
    <n v="51200"/>
    <n v="48000"/>
    <n v="1.0666666666666667"/>
    <n v="1536"/>
    <n v="52736"/>
    <n v="0"/>
    <n v="51200"/>
    <n v="0"/>
    <n v="51200"/>
    <n v="0"/>
    <n v="0"/>
  </r>
  <r>
    <s v="E0282"/>
    <x v="5"/>
    <s v="Finance Assistant"/>
    <n v="44600"/>
    <n v="52000"/>
    <n v="0.85769230769230764"/>
    <n v="1338"/>
    <n v="45938"/>
    <n v="2200"/>
    <n v="46800"/>
    <n v="4800"/>
    <n v="49400"/>
    <n v="1"/>
    <n v="1"/>
  </r>
  <r>
    <s v="E0283"/>
    <x v="4"/>
    <s v="Administrative Coordinator"/>
    <n v="48000"/>
    <n v="58000"/>
    <n v="0.82758620689655171"/>
    <n v="1440"/>
    <n v="49440"/>
    <n v="4200"/>
    <n v="52200"/>
    <n v="7100"/>
    <n v="55100"/>
    <n v="1"/>
    <n v="1"/>
  </r>
  <r>
    <s v="E0284"/>
    <x v="4"/>
    <s v="Administrative Assistant"/>
    <n v="46300"/>
    <n v="48000"/>
    <n v="0.96458333333333335"/>
    <n v="1389"/>
    <n v="47689"/>
    <n v="0"/>
    <n v="46300"/>
    <n v="0"/>
    <n v="46300"/>
    <n v="0"/>
    <n v="0"/>
  </r>
  <r>
    <s v="E0285"/>
    <x v="1"/>
    <s v="HR Analyst"/>
    <n v="58200"/>
    <n v="68000"/>
    <n v="0.85588235294117643"/>
    <n v="1746"/>
    <n v="59946"/>
    <n v="3000"/>
    <n v="61200"/>
    <n v="6400"/>
    <n v="64600"/>
    <n v="1"/>
    <n v="1"/>
  </r>
  <r>
    <s v="E0286"/>
    <x v="2"/>
    <s v="Policy Analyst"/>
    <n v="70700"/>
    <n v="72000"/>
    <n v="0.9819444444444444"/>
    <n v="2121"/>
    <n v="72821"/>
    <n v="0"/>
    <n v="70700"/>
    <n v="0"/>
    <n v="70700"/>
    <n v="0"/>
    <n v="0"/>
  </r>
  <r>
    <s v="E0287"/>
    <x v="4"/>
    <s v="Administrative Coordinator"/>
    <n v="46800"/>
    <n v="58000"/>
    <n v="0.80689655172413788"/>
    <n v="1404"/>
    <n v="48204"/>
    <n v="5400"/>
    <n v="52200"/>
    <n v="8300"/>
    <n v="55100"/>
    <n v="1"/>
    <n v="1"/>
  </r>
  <r>
    <s v="E0288"/>
    <x v="4"/>
    <s v="Administrative Coordinator"/>
    <n v="58600"/>
    <n v="58000"/>
    <n v="1.0103448275862068"/>
    <n v="1758"/>
    <n v="60358"/>
    <n v="0"/>
    <n v="58600"/>
    <n v="0"/>
    <n v="58600"/>
    <n v="0"/>
    <n v="0"/>
  </r>
  <r>
    <s v="E0289"/>
    <x v="3"/>
    <s v="Operations Analyst"/>
    <n v="60300"/>
    <n v="68000"/>
    <n v="0.8867647058823529"/>
    <n v="1809"/>
    <n v="62109"/>
    <n v="900"/>
    <n v="61200"/>
    <n v="4300"/>
    <n v="64600"/>
    <n v="1"/>
    <n v="1"/>
  </r>
  <r>
    <s v="E0290"/>
    <x v="2"/>
    <s v="Research Assistant"/>
    <n v="54600"/>
    <n v="52000"/>
    <n v="1.05"/>
    <n v="1638"/>
    <n v="56238"/>
    <n v="0"/>
    <n v="54600"/>
    <n v="0"/>
    <n v="54600"/>
    <n v="0"/>
    <n v="0"/>
  </r>
  <r>
    <s v="E0291"/>
    <x v="3"/>
    <s v="Operations Analyst"/>
    <n v="70700"/>
    <n v="68000"/>
    <n v="1.0397058823529413"/>
    <n v="2121"/>
    <n v="72821"/>
    <n v="0"/>
    <n v="70700"/>
    <n v="0"/>
    <n v="70700"/>
    <n v="0"/>
    <n v="0"/>
  </r>
  <r>
    <s v="E0292"/>
    <x v="4"/>
    <s v="Administrative Assistant"/>
    <n v="51700"/>
    <n v="48000"/>
    <n v="1.0770833333333334"/>
    <n v="1551"/>
    <n v="53251"/>
    <n v="0"/>
    <n v="51700"/>
    <n v="0"/>
    <n v="51700"/>
    <n v="0"/>
    <n v="0"/>
  </r>
  <r>
    <s v="E0293"/>
    <x v="1"/>
    <s v="HR Analyst"/>
    <n v="64600"/>
    <n v="68000"/>
    <n v="0.95"/>
    <n v="1938"/>
    <n v="66538"/>
    <n v="0"/>
    <n v="64600"/>
    <n v="0"/>
    <n v="64600"/>
    <n v="0"/>
    <n v="0"/>
  </r>
  <r>
    <s v="E0294"/>
    <x v="3"/>
    <s v="Operations Assistant"/>
    <n v="41700"/>
    <n v="50000"/>
    <n v="0.83399999999999996"/>
    <n v="1251"/>
    <n v="42951"/>
    <n v="3300"/>
    <n v="45000"/>
    <n v="5800"/>
    <n v="47500"/>
    <n v="1"/>
    <n v="1"/>
  </r>
  <r>
    <s v="E0295"/>
    <x v="5"/>
    <s v="Finance Assistant"/>
    <n v="47000"/>
    <n v="52000"/>
    <n v="0.90384615384615385"/>
    <n v="1410"/>
    <n v="48410"/>
    <n v="0"/>
    <n v="47000"/>
    <n v="2400"/>
    <n v="49400"/>
    <n v="0"/>
    <n v="1"/>
  </r>
  <r>
    <s v="E0296"/>
    <x v="5"/>
    <s v="Financial Analyst"/>
    <n v="74000"/>
    <n v="70000"/>
    <n v="1.0571428571428572"/>
    <n v="2220"/>
    <n v="76220"/>
    <n v="0"/>
    <n v="74000"/>
    <n v="0"/>
    <n v="74000"/>
    <n v="0"/>
    <n v="0"/>
  </r>
  <r>
    <s v="E0297"/>
    <x v="5"/>
    <s v="Financial Analyst"/>
    <n v="76300"/>
    <n v="70000"/>
    <n v="1.0900000000000001"/>
    <n v="2289"/>
    <n v="78589"/>
    <n v="0"/>
    <n v="76300"/>
    <n v="0"/>
    <n v="76300"/>
    <n v="0"/>
    <n v="0"/>
  </r>
  <r>
    <s v="E0298"/>
    <x v="3"/>
    <s v="Operations Assistant"/>
    <n v="52100"/>
    <n v="50000"/>
    <n v="1.042"/>
    <n v="1563"/>
    <n v="53663"/>
    <n v="0"/>
    <n v="52100"/>
    <n v="0"/>
    <n v="52100"/>
    <n v="0"/>
    <n v="0"/>
  </r>
  <r>
    <s v="E0299"/>
    <x v="4"/>
    <s v="Administrative Coordinator"/>
    <n v="60300"/>
    <n v="58000"/>
    <n v="1.039655172413793"/>
    <n v="1809"/>
    <n v="62109"/>
    <n v="0"/>
    <n v="60300"/>
    <n v="0"/>
    <n v="60300"/>
    <n v="0"/>
    <n v="0"/>
  </r>
  <r>
    <s v="E0300"/>
    <x v="3"/>
    <s v="Operations Manager"/>
    <n v="86100"/>
    <n v="85000"/>
    <n v="1.0129411764705882"/>
    <n v="2583"/>
    <n v="88683"/>
    <n v="0"/>
    <n v="86100"/>
    <n v="0"/>
    <n v="86100"/>
    <n v="0"/>
    <n v="0"/>
  </r>
  <r>
    <s v="E0301"/>
    <x v="0"/>
    <s v="Systems Analyst"/>
    <n v="72400"/>
    <n v="78000"/>
    <n v="0.92820512820512824"/>
    <n v="2172"/>
    <n v="74572"/>
    <n v="0"/>
    <n v="72400"/>
    <n v="1700"/>
    <n v="74100"/>
    <n v="0"/>
    <n v="1"/>
  </r>
  <r>
    <s v="E0302"/>
    <x v="5"/>
    <s v="Financial Analyst"/>
    <n v="58000"/>
    <n v="70000"/>
    <n v="0.82857142857142863"/>
    <n v="1740"/>
    <n v="59740"/>
    <n v="5000"/>
    <n v="63000"/>
    <n v="8500"/>
    <n v="66500"/>
    <n v="1"/>
    <n v="1"/>
  </r>
  <r>
    <s v="E0303"/>
    <x v="2"/>
    <s v="Research Assistant"/>
    <n v="47600"/>
    <n v="52000"/>
    <n v="0.91538461538461535"/>
    <n v="1428"/>
    <n v="49028"/>
    <n v="0"/>
    <n v="47600"/>
    <n v="1800"/>
    <n v="49400"/>
    <n v="0"/>
    <n v="1"/>
  </r>
  <r>
    <s v="E0304"/>
    <x v="2"/>
    <s v="Research Assistant"/>
    <n v="38900"/>
    <n v="52000"/>
    <n v="0.74807692307692308"/>
    <n v="1167"/>
    <n v="40067"/>
    <n v="7900"/>
    <n v="46800"/>
    <n v="10500"/>
    <n v="49400"/>
    <n v="1"/>
    <n v="1"/>
  </r>
  <r>
    <s v="E0305"/>
    <x v="1"/>
    <s v="HR Analyst"/>
    <n v="64900"/>
    <n v="68000"/>
    <n v="0.9544117647058824"/>
    <n v="1947"/>
    <n v="66847"/>
    <n v="0"/>
    <n v="64900"/>
    <n v="0"/>
    <n v="64900"/>
    <n v="0"/>
    <n v="0"/>
  </r>
  <r>
    <s v="E0306"/>
    <x v="5"/>
    <s v="Senior Financial Analyst"/>
    <n v="84700"/>
    <n v="88000"/>
    <n v="0.96250000000000002"/>
    <n v="2541"/>
    <n v="87241"/>
    <n v="0"/>
    <n v="84700"/>
    <n v="0"/>
    <n v="84700"/>
    <n v="0"/>
    <n v="0"/>
  </r>
  <r>
    <s v="E0307"/>
    <x v="3"/>
    <s v="Operations Manager"/>
    <n v="90000"/>
    <n v="85000"/>
    <n v="1.0588235294117647"/>
    <n v="2700"/>
    <n v="92700"/>
    <n v="0"/>
    <n v="90000"/>
    <n v="0"/>
    <n v="90000"/>
    <n v="0"/>
    <n v="0"/>
  </r>
  <r>
    <s v="E0308"/>
    <x v="5"/>
    <s v="Finance Assistant"/>
    <n v="48800"/>
    <n v="52000"/>
    <n v="0.93846153846153846"/>
    <n v="1464"/>
    <n v="50264"/>
    <n v="0"/>
    <n v="48800"/>
    <n v="600"/>
    <n v="49400"/>
    <n v="0"/>
    <n v="1"/>
  </r>
  <r>
    <s v="E0309"/>
    <x v="0"/>
    <s v="Systems Analyst"/>
    <n v="81500"/>
    <n v="78000"/>
    <n v="1.0448717948717949"/>
    <n v="2445"/>
    <n v="83945"/>
    <n v="0"/>
    <n v="81500"/>
    <n v="0"/>
    <n v="81500"/>
    <n v="0"/>
    <n v="0"/>
  </r>
  <r>
    <s v="E0310"/>
    <x v="4"/>
    <s v="Administrative Coordinator"/>
    <n v="72200"/>
    <n v="58000"/>
    <n v="1.2448275862068965"/>
    <n v="2166"/>
    <n v="74366"/>
    <n v="0"/>
    <n v="72200"/>
    <n v="0"/>
    <n v="72200"/>
    <n v="0"/>
    <n v="0"/>
  </r>
  <r>
    <s v="E0311"/>
    <x v="0"/>
    <s v="Systems Analyst"/>
    <n v="61400"/>
    <n v="78000"/>
    <n v="0.78717948717948716"/>
    <n v="1842"/>
    <n v="63242"/>
    <n v="8800"/>
    <n v="70200"/>
    <n v="12700"/>
    <n v="74100"/>
    <n v="1"/>
    <n v="1"/>
  </r>
  <r>
    <s v="E0312"/>
    <x v="1"/>
    <s v="HR Analyst"/>
    <n v="60700"/>
    <n v="68000"/>
    <n v="0.89264705882352946"/>
    <n v="1821"/>
    <n v="62521"/>
    <n v="500"/>
    <n v="61200"/>
    <n v="3900"/>
    <n v="64600"/>
    <n v="1"/>
    <n v="1"/>
  </r>
  <r>
    <s v="E0313"/>
    <x v="5"/>
    <s v="Finance Assistant"/>
    <n v="46900"/>
    <n v="52000"/>
    <n v="0.90192307692307694"/>
    <n v="1407"/>
    <n v="48307"/>
    <n v="0"/>
    <n v="46900"/>
    <n v="2500"/>
    <n v="49400"/>
    <n v="0"/>
    <n v="1"/>
  </r>
  <r>
    <s v="E0314"/>
    <x v="3"/>
    <s v="Operations Manager"/>
    <n v="92600"/>
    <n v="85000"/>
    <n v="1.0894117647058823"/>
    <n v="2778"/>
    <n v="95378"/>
    <n v="0"/>
    <n v="92600"/>
    <n v="0"/>
    <n v="92600"/>
    <n v="0"/>
    <n v="0"/>
  </r>
  <r>
    <s v="E0315"/>
    <x v="3"/>
    <s v="Operations Analyst"/>
    <n v="53400"/>
    <n v="68000"/>
    <n v="0.78529411764705881"/>
    <n v="1602"/>
    <n v="55002"/>
    <n v="7800"/>
    <n v="61200"/>
    <n v="11200"/>
    <n v="64600"/>
    <n v="1"/>
    <n v="1"/>
  </r>
  <r>
    <s v="E0316"/>
    <x v="0"/>
    <s v="IT Support Analyst"/>
    <n v="54800"/>
    <n v="58000"/>
    <n v="0.94482758620689655"/>
    <n v="1644"/>
    <n v="56444"/>
    <n v="0"/>
    <n v="54800"/>
    <n v="300"/>
    <n v="55100"/>
    <n v="0"/>
    <n v="1"/>
  </r>
  <r>
    <s v="E0317"/>
    <x v="4"/>
    <s v="Administrative Coordinator"/>
    <n v="57300"/>
    <n v="58000"/>
    <n v="0.98793103448275865"/>
    <n v="1719"/>
    <n v="59019"/>
    <n v="0"/>
    <n v="57300"/>
    <n v="0"/>
    <n v="57300"/>
    <n v="0"/>
    <n v="0"/>
  </r>
  <r>
    <s v="E0318"/>
    <x v="5"/>
    <s v="Senior Financial Analyst"/>
    <n v="82800"/>
    <n v="88000"/>
    <n v="0.94090909090909092"/>
    <n v="2484"/>
    <n v="85284"/>
    <n v="0"/>
    <n v="82800"/>
    <n v="800"/>
    <n v="83600"/>
    <n v="0"/>
    <n v="1"/>
  </r>
  <r>
    <s v="E0319"/>
    <x v="4"/>
    <s v="Administrative Assistant"/>
    <n v="44900"/>
    <n v="48000"/>
    <n v="0.93541666666666667"/>
    <n v="1347"/>
    <n v="46247"/>
    <n v="0"/>
    <n v="44900"/>
    <n v="700"/>
    <n v="45600"/>
    <n v="0"/>
    <n v="1"/>
  </r>
  <r>
    <s v="E0320"/>
    <x v="5"/>
    <s v="Finance Assistant"/>
    <n v="54600"/>
    <n v="52000"/>
    <n v="1.05"/>
    <n v="1638"/>
    <n v="56238"/>
    <n v="0"/>
    <n v="54600"/>
    <n v="0"/>
    <n v="54600"/>
    <n v="0"/>
    <n v="0"/>
  </r>
  <r>
    <s v="E0321"/>
    <x v="4"/>
    <s v="Administrative Assistant"/>
    <n v="52800"/>
    <n v="48000"/>
    <n v="1.1000000000000001"/>
    <n v="1584"/>
    <n v="54384"/>
    <n v="0"/>
    <n v="52800"/>
    <n v="0"/>
    <n v="52800"/>
    <n v="0"/>
    <n v="0"/>
  </r>
  <r>
    <s v="E0322"/>
    <x v="3"/>
    <s v="Operations Assistant"/>
    <n v="51800"/>
    <n v="50000"/>
    <n v="1.036"/>
    <n v="1554"/>
    <n v="53354"/>
    <n v="0"/>
    <n v="51800"/>
    <n v="0"/>
    <n v="51800"/>
    <n v="0"/>
    <n v="0"/>
  </r>
  <r>
    <s v="E0323"/>
    <x v="2"/>
    <s v="Research Assistant"/>
    <n v="51300"/>
    <n v="52000"/>
    <n v="0.98653846153846159"/>
    <n v="1539"/>
    <n v="52839"/>
    <n v="0"/>
    <n v="51300"/>
    <n v="0"/>
    <n v="51300"/>
    <n v="0"/>
    <n v="0"/>
  </r>
  <r>
    <s v="E0324"/>
    <x v="3"/>
    <s v="Operations Manager"/>
    <n v="91800"/>
    <n v="85000"/>
    <n v="1.08"/>
    <n v="2754"/>
    <n v="94554"/>
    <n v="0"/>
    <n v="91800"/>
    <n v="0"/>
    <n v="91800"/>
    <n v="0"/>
    <n v="0"/>
  </r>
  <r>
    <s v="E0325"/>
    <x v="5"/>
    <s v="Finance Assistant"/>
    <n v="53200"/>
    <n v="52000"/>
    <n v="1.023076923076923"/>
    <n v="1596"/>
    <n v="54796"/>
    <n v="0"/>
    <n v="53200"/>
    <n v="0"/>
    <n v="53200"/>
    <n v="0"/>
    <n v="0"/>
  </r>
  <r>
    <s v="E0326"/>
    <x v="2"/>
    <s v="Research Assistant"/>
    <n v="49000"/>
    <n v="52000"/>
    <n v="0.94230769230769229"/>
    <n v="1470"/>
    <n v="50470"/>
    <n v="0"/>
    <n v="49000"/>
    <n v="400"/>
    <n v="49400"/>
    <n v="0"/>
    <n v="1"/>
  </r>
  <r>
    <s v="E0327"/>
    <x v="0"/>
    <s v="Systems Analyst"/>
    <n v="75200"/>
    <n v="78000"/>
    <n v="0.96410256410256412"/>
    <n v="2256"/>
    <n v="77456"/>
    <n v="0"/>
    <n v="75200"/>
    <n v="0"/>
    <n v="75200"/>
    <n v="0"/>
    <n v="0"/>
  </r>
  <r>
    <s v="E0328"/>
    <x v="4"/>
    <s v="Office Manager"/>
    <n v="71700"/>
    <n v="72000"/>
    <n v="0.99583333333333335"/>
    <n v="2151"/>
    <n v="73851"/>
    <n v="0"/>
    <n v="71700"/>
    <n v="0"/>
    <n v="71700"/>
    <n v="0"/>
    <n v="0"/>
  </r>
  <r>
    <s v="E0329"/>
    <x v="0"/>
    <s v="Systems Analyst"/>
    <n v="74600"/>
    <n v="78000"/>
    <n v="0.95641025641025645"/>
    <n v="2238"/>
    <n v="76838"/>
    <n v="0"/>
    <n v="74600"/>
    <n v="0"/>
    <n v="74600"/>
    <n v="0"/>
    <n v="0"/>
  </r>
  <r>
    <s v="E0330"/>
    <x v="5"/>
    <s v="Finance Assistant"/>
    <n v="50000"/>
    <n v="52000"/>
    <n v="0.96153846153846156"/>
    <n v="1500"/>
    <n v="51500"/>
    <n v="0"/>
    <n v="50000"/>
    <n v="0"/>
    <n v="50000"/>
    <n v="0"/>
    <n v="0"/>
  </r>
  <r>
    <s v="E0331"/>
    <x v="2"/>
    <s v="Policy Analyst"/>
    <n v="74200"/>
    <n v="72000"/>
    <n v="1.0305555555555554"/>
    <n v="2226"/>
    <n v="76426"/>
    <n v="0"/>
    <n v="74200"/>
    <n v="0"/>
    <n v="74200"/>
    <n v="0"/>
    <n v="0"/>
  </r>
  <r>
    <s v="E0332"/>
    <x v="5"/>
    <s v="Senior Financial Analyst"/>
    <n v="72900"/>
    <n v="88000"/>
    <n v="0.82840909090909087"/>
    <n v="2187"/>
    <n v="75087"/>
    <n v="6300"/>
    <n v="79200"/>
    <n v="10700"/>
    <n v="83600"/>
    <n v="1"/>
    <n v="1"/>
  </r>
  <r>
    <s v="E0333"/>
    <x v="5"/>
    <s v="Finance Assistant"/>
    <n v="47300"/>
    <n v="52000"/>
    <n v="0.9096153846153846"/>
    <n v="1419"/>
    <n v="48719"/>
    <n v="0"/>
    <n v="47300"/>
    <n v="2100"/>
    <n v="49400"/>
    <n v="0"/>
    <n v="1"/>
  </r>
  <r>
    <s v="E0334"/>
    <x v="4"/>
    <s v="Administrative Coordinator"/>
    <n v="56700"/>
    <n v="58000"/>
    <n v="0.97758620689655173"/>
    <n v="1701"/>
    <n v="58401"/>
    <n v="0"/>
    <n v="56700"/>
    <n v="0"/>
    <n v="56700"/>
    <n v="0"/>
    <n v="0"/>
  </r>
  <r>
    <s v="E0335"/>
    <x v="1"/>
    <s v="HR Advisor"/>
    <n v="84800"/>
    <n v="82000"/>
    <n v="1.0341463414634147"/>
    <n v="2544"/>
    <n v="87344"/>
    <n v="0"/>
    <n v="84800"/>
    <n v="0"/>
    <n v="84800"/>
    <n v="0"/>
    <n v="0"/>
  </r>
  <r>
    <s v="E0336"/>
    <x v="3"/>
    <s v="Operations Analyst"/>
    <n v="76900"/>
    <n v="68000"/>
    <n v="1.1308823529411764"/>
    <n v="2307"/>
    <n v="79207"/>
    <n v="0"/>
    <n v="76900"/>
    <n v="0"/>
    <n v="76900"/>
    <n v="0"/>
    <n v="0"/>
  </r>
  <r>
    <s v="E0337"/>
    <x v="4"/>
    <s v="Administrative Assistant"/>
    <n v="44000"/>
    <n v="48000"/>
    <n v="0.91666666666666663"/>
    <n v="1320"/>
    <n v="45320"/>
    <n v="0"/>
    <n v="44000"/>
    <n v="1600"/>
    <n v="45600"/>
    <n v="0"/>
    <n v="1"/>
  </r>
  <r>
    <s v="E0338"/>
    <x v="4"/>
    <s v="Office Manager"/>
    <n v="69900"/>
    <n v="72000"/>
    <n v="0.97083333333333333"/>
    <n v="2097"/>
    <n v="71997"/>
    <n v="0"/>
    <n v="69900"/>
    <n v="0"/>
    <n v="69900"/>
    <n v="0"/>
    <n v="0"/>
  </r>
  <r>
    <s v="E0339"/>
    <x v="3"/>
    <s v="Operations Analyst"/>
    <n v="68700"/>
    <n v="68000"/>
    <n v="1.0102941176470588"/>
    <n v="2061"/>
    <n v="70761"/>
    <n v="0"/>
    <n v="68700"/>
    <n v="0"/>
    <n v="68700"/>
    <n v="0"/>
    <n v="0"/>
  </r>
  <r>
    <s v="E0340"/>
    <x v="4"/>
    <s v="Office Manager"/>
    <n v="73400"/>
    <n v="72000"/>
    <n v="1.0194444444444444"/>
    <n v="2202"/>
    <n v="75602"/>
    <n v="0"/>
    <n v="73400"/>
    <n v="0"/>
    <n v="73400"/>
    <n v="0"/>
    <n v="0"/>
  </r>
  <r>
    <s v="E0341"/>
    <x v="4"/>
    <s v="Administrative Coordinator"/>
    <n v="48700"/>
    <n v="58000"/>
    <n v="0.83965517241379306"/>
    <n v="1461"/>
    <n v="50161"/>
    <n v="3500"/>
    <n v="52200"/>
    <n v="6400"/>
    <n v="55100"/>
    <n v="1"/>
    <n v="1"/>
  </r>
  <r>
    <s v="E0342"/>
    <x v="2"/>
    <s v="Senior Policy Analyst"/>
    <n v="72500"/>
    <n v="90000"/>
    <n v="0.80555555555555558"/>
    <n v="2175"/>
    <n v="74675"/>
    <n v="8500"/>
    <n v="81000"/>
    <n v="13000"/>
    <n v="85500"/>
    <n v="1"/>
    <n v="1"/>
  </r>
  <r>
    <s v="E0343"/>
    <x v="4"/>
    <s v="Office Manager"/>
    <n v="59800"/>
    <n v="72000"/>
    <n v="0.8305555555555556"/>
    <n v="1794"/>
    <n v="61594"/>
    <n v="5000"/>
    <n v="64800"/>
    <n v="8600"/>
    <n v="68400"/>
    <n v="1"/>
    <n v="1"/>
  </r>
  <r>
    <s v="E0344"/>
    <x v="3"/>
    <s v="Operations Analyst"/>
    <n v="66700"/>
    <n v="68000"/>
    <n v="0.98088235294117643"/>
    <n v="2001"/>
    <n v="68701"/>
    <n v="0"/>
    <n v="66700"/>
    <n v="0"/>
    <n v="66700"/>
    <n v="0"/>
    <n v="0"/>
  </r>
  <r>
    <s v="E0345"/>
    <x v="1"/>
    <s v="HR Assistant"/>
    <n v="45200"/>
    <n v="50000"/>
    <n v="0.90400000000000003"/>
    <n v="1356"/>
    <n v="46556"/>
    <n v="0"/>
    <n v="45200"/>
    <n v="2300"/>
    <n v="47500"/>
    <n v="0"/>
    <n v="1"/>
  </r>
  <r>
    <s v="E0346"/>
    <x v="5"/>
    <s v="Finance Assistant"/>
    <n v="49300"/>
    <n v="52000"/>
    <n v="0.94807692307692304"/>
    <n v="1479"/>
    <n v="50779"/>
    <n v="0"/>
    <n v="49300"/>
    <n v="100"/>
    <n v="49400"/>
    <n v="0"/>
    <n v="1"/>
  </r>
  <r>
    <s v="E0347"/>
    <x v="2"/>
    <s v="Senior Policy Analyst"/>
    <n v="94700"/>
    <n v="90000"/>
    <n v="1.0522222222222222"/>
    <n v="2841"/>
    <n v="97541"/>
    <n v="0"/>
    <n v="94700"/>
    <n v="0"/>
    <n v="94700"/>
    <n v="0"/>
    <n v="0"/>
  </r>
  <r>
    <s v="E0348"/>
    <x v="3"/>
    <s v="Operations Analyst"/>
    <n v="49700"/>
    <n v="68000"/>
    <n v="0.73088235294117643"/>
    <n v="1491"/>
    <n v="51191"/>
    <n v="11500"/>
    <n v="61200"/>
    <n v="14900"/>
    <n v="64600"/>
    <n v="1"/>
    <n v="1"/>
  </r>
  <r>
    <s v="E0349"/>
    <x v="2"/>
    <s v="Research Assistant"/>
    <n v="53300"/>
    <n v="52000"/>
    <n v="1.0249999999999999"/>
    <n v="1599"/>
    <n v="54899"/>
    <n v="0"/>
    <n v="53300"/>
    <n v="0"/>
    <n v="53300"/>
    <n v="0"/>
    <n v="0"/>
  </r>
  <r>
    <s v="E0350"/>
    <x v="4"/>
    <s v="Office Manager"/>
    <n v="70400"/>
    <n v="72000"/>
    <n v="0.97777777777777775"/>
    <n v="2112"/>
    <n v="72512"/>
    <n v="0"/>
    <n v="70400"/>
    <n v="0"/>
    <n v="70400"/>
    <n v="0"/>
    <n v="0"/>
  </r>
  <r>
    <s v="E0351"/>
    <x v="2"/>
    <s v="Research Assistant"/>
    <n v="40600"/>
    <n v="52000"/>
    <n v="0.78076923076923077"/>
    <n v="1218"/>
    <n v="41818"/>
    <n v="6200"/>
    <n v="46800"/>
    <n v="8800"/>
    <n v="49400"/>
    <n v="1"/>
    <n v="1"/>
  </r>
  <r>
    <s v="E0352"/>
    <x v="0"/>
    <s v="Systems Analyst"/>
    <n v="73300"/>
    <n v="78000"/>
    <n v="0.93974358974358974"/>
    <n v="2199"/>
    <n v="75499"/>
    <n v="0"/>
    <n v="73300"/>
    <n v="800"/>
    <n v="74100"/>
    <n v="0"/>
    <n v="1"/>
  </r>
  <r>
    <s v="E0353"/>
    <x v="5"/>
    <s v="Financial Analyst"/>
    <n v="59100"/>
    <n v="70000"/>
    <n v="0.84428571428571431"/>
    <n v="1773"/>
    <n v="60873"/>
    <n v="3900"/>
    <n v="63000"/>
    <n v="7400"/>
    <n v="66500"/>
    <n v="1"/>
    <n v="1"/>
  </r>
  <r>
    <s v="E0354"/>
    <x v="0"/>
    <s v="Systems Analyst"/>
    <n v="74600"/>
    <n v="78000"/>
    <n v="0.95641025641025645"/>
    <n v="2238"/>
    <n v="76838"/>
    <n v="0"/>
    <n v="74600"/>
    <n v="0"/>
    <n v="74600"/>
    <n v="0"/>
    <n v="0"/>
  </r>
  <r>
    <s v="E0355"/>
    <x v="4"/>
    <s v="Administrative Coordinator"/>
    <n v="50300"/>
    <n v="58000"/>
    <n v="0.86724137931034484"/>
    <n v="1509"/>
    <n v="51809"/>
    <n v="1900"/>
    <n v="52200"/>
    <n v="4800"/>
    <n v="55100"/>
    <n v="1"/>
    <n v="1"/>
  </r>
  <r>
    <s v="E0356"/>
    <x v="3"/>
    <s v="Operations Assistant"/>
    <n v="46700"/>
    <n v="50000"/>
    <n v="0.93400000000000005"/>
    <n v="1401"/>
    <n v="48101"/>
    <n v="0"/>
    <n v="46700"/>
    <n v="800"/>
    <n v="47500"/>
    <n v="0"/>
    <n v="1"/>
  </r>
  <r>
    <s v="E0357"/>
    <x v="5"/>
    <s v="Senior Financial Analyst"/>
    <n v="84000"/>
    <n v="88000"/>
    <n v="0.95454545454545459"/>
    <n v="2520"/>
    <n v="86520"/>
    <n v="0"/>
    <n v="84000"/>
    <n v="0"/>
    <n v="84000"/>
    <n v="0"/>
    <n v="0"/>
  </r>
  <r>
    <s v="E0358"/>
    <x v="4"/>
    <s v="Administrative Coordinator"/>
    <n v="55300"/>
    <n v="58000"/>
    <n v="0.95344827586206893"/>
    <n v="1659"/>
    <n v="56959"/>
    <n v="0"/>
    <n v="55300"/>
    <n v="0"/>
    <n v="55300"/>
    <n v="0"/>
    <n v="0"/>
  </r>
  <r>
    <s v="E0359"/>
    <x v="5"/>
    <s v="Finance Assistant"/>
    <n v="42900"/>
    <n v="52000"/>
    <n v="0.82499999999999996"/>
    <n v="1287"/>
    <n v="44187"/>
    <n v="3900"/>
    <n v="46800"/>
    <n v="6500"/>
    <n v="49400"/>
    <n v="1"/>
    <n v="1"/>
  </r>
  <r>
    <s v="E0360"/>
    <x v="2"/>
    <s v="Policy Analyst"/>
    <n v="63400"/>
    <n v="72000"/>
    <n v="0.88055555555555554"/>
    <n v="1902"/>
    <n v="65302"/>
    <n v="1400"/>
    <n v="64800"/>
    <n v="5000"/>
    <n v="68400"/>
    <n v="1"/>
    <n v="1"/>
  </r>
  <r>
    <s v="E0361"/>
    <x v="5"/>
    <s v="Finance Assistant"/>
    <n v="48100"/>
    <n v="52000"/>
    <n v="0.92500000000000004"/>
    <n v="1443"/>
    <n v="49543"/>
    <n v="0"/>
    <n v="48100"/>
    <n v="1300"/>
    <n v="49400"/>
    <n v="0"/>
    <n v="1"/>
  </r>
  <r>
    <s v="E0362"/>
    <x v="2"/>
    <s v="Senior Policy Analyst"/>
    <n v="75400"/>
    <n v="90000"/>
    <n v="0.83777777777777773"/>
    <n v="2262"/>
    <n v="77662"/>
    <n v="5600"/>
    <n v="81000"/>
    <n v="10100"/>
    <n v="85500"/>
    <n v="1"/>
    <n v="1"/>
  </r>
  <r>
    <s v="E0363"/>
    <x v="5"/>
    <s v="Finance Assistant"/>
    <n v="49600"/>
    <n v="52000"/>
    <n v="0.9538461538461539"/>
    <n v="1488"/>
    <n v="51088"/>
    <n v="0"/>
    <n v="49600"/>
    <n v="0"/>
    <n v="49600"/>
    <n v="0"/>
    <n v="0"/>
  </r>
  <r>
    <s v="E0364"/>
    <x v="0"/>
    <s v="Senior Systems Analyst"/>
    <n v="91700"/>
    <n v="98000"/>
    <n v="0.93571428571428572"/>
    <n v="2751"/>
    <n v="94451"/>
    <n v="0"/>
    <n v="91700"/>
    <n v="1400"/>
    <n v="93100"/>
    <n v="0"/>
    <n v="1"/>
  </r>
  <r>
    <s v="E0365"/>
    <x v="3"/>
    <s v="Operations Assistant"/>
    <n v="55900"/>
    <n v="50000"/>
    <n v="1.1180000000000001"/>
    <n v="1677"/>
    <n v="57577"/>
    <n v="0"/>
    <n v="55900"/>
    <n v="0"/>
    <n v="55900"/>
    <n v="0"/>
    <n v="0"/>
  </r>
  <r>
    <s v="E0366"/>
    <x v="5"/>
    <s v="Financial Analyst"/>
    <n v="73000"/>
    <n v="70000"/>
    <n v="1.0428571428571429"/>
    <n v="2190"/>
    <n v="75190"/>
    <n v="0"/>
    <n v="73000"/>
    <n v="0"/>
    <n v="73000"/>
    <n v="0"/>
    <n v="0"/>
  </r>
  <r>
    <s v="E0367"/>
    <x v="1"/>
    <s v="HR Advisor"/>
    <n v="82600"/>
    <n v="82000"/>
    <n v="1.0073170731707317"/>
    <n v="2478"/>
    <n v="85078"/>
    <n v="0"/>
    <n v="82600"/>
    <n v="0"/>
    <n v="82600"/>
    <n v="0"/>
    <n v="0"/>
  </r>
  <r>
    <s v="E0368"/>
    <x v="2"/>
    <s v="Policy Analyst"/>
    <n v="80100"/>
    <n v="72000"/>
    <n v="1.1125"/>
    <n v="2403"/>
    <n v="82503"/>
    <n v="0"/>
    <n v="80100"/>
    <n v="0"/>
    <n v="80100"/>
    <n v="0"/>
    <n v="0"/>
  </r>
  <r>
    <s v="E0369"/>
    <x v="4"/>
    <s v="Office Manager"/>
    <n v="63700"/>
    <n v="72000"/>
    <n v="0.88472222222222219"/>
    <n v="1911"/>
    <n v="65611"/>
    <n v="1100"/>
    <n v="64800"/>
    <n v="4700"/>
    <n v="68400"/>
    <n v="1"/>
    <n v="1"/>
  </r>
  <r>
    <s v="E0370"/>
    <x v="0"/>
    <s v="IT Support Analyst"/>
    <n v="48000"/>
    <n v="58000"/>
    <n v="0.82758620689655171"/>
    <n v="1440"/>
    <n v="49440"/>
    <n v="4200"/>
    <n v="52200"/>
    <n v="7100"/>
    <n v="55100"/>
    <n v="1"/>
    <n v="1"/>
  </r>
  <r>
    <s v="E0371"/>
    <x v="0"/>
    <s v="IT Support Analyst"/>
    <n v="61100"/>
    <n v="58000"/>
    <n v="1.0534482758620689"/>
    <n v="1833"/>
    <n v="62933"/>
    <n v="0"/>
    <n v="61100"/>
    <n v="0"/>
    <n v="61100"/>
    <n v="0"/>
    <n v="0"/>
  </r>
  <r>
    <s v="E0372"/>
    <x v="5"/>
    <s v="Senior Financial Analyst"/>
    <n v="84600"/>
    <n v="88000"/>
    <n v="0.96136363636363631"/>
    <n v="2538"/>
    <n v="87138"/>
    <n v="0"/>
    <n v="84600"/>
    <n v="0"/>
    <n v="84600"/>
    <n v="0"/>
    <n v="0"/>
  </r>
  <r>
    <s v="E0373"/>
    <x v="1"/>
    <s v="HR Analyst"/>
    <n v="54400"/>
    <n v="68000"/>
    <n v="0.8"/>
    <n v="1632"/>
    <n v="56032"/>
    <n v="6800"/>
    <n v="61200"/>
    <n v="10200"/>
    <n v="64600"/>
    <n v="1"/>
    <n v="1"/>
  </r>
  <r>
    <s v="E0374"/>
    <x v="1"/>
    <s v="HR Analyst"/>
    <n v="55600"/>
    <n v="68000"/>
    <n v="0.81764705882352939"/>
    <n v="1668"/>
    <n v="57268"/>
    <n v="5600"/>
    <n v="61200"/>
    <n v="9000"/>
    <n v="64600"/>
    <n v="1"/>
    <n v="1"/>
  </r>
  <r>
    <s v="E0375"/>
    <x v="0"/>
    <s v="Systems Analyst"/>
    <n v="84300"/>
    <n v="78000"/>
    <n v="1.0807692307692307"/>
    <n v="2529"/>
    <n v="86829"/>
    <n v="0"/>
    <n v="84300"/>
    <n v="0"/>
    <n v="84300"/>
    <n v="0"/>
    <n v="0"/>
  </r>
  <r>
    <s v="E0376"/>
    <x v="5"/>
    <s v="Financial Analyst"/>
    <n v="71400"/>
    <n v="70000"/>
    <n v="1.02"/>
    <n v="2142"/>
    <n v="73542"/>
    <n v="0"/>
    <n v="71400"/>
    <n v="0"/>
    <n v="71400"/>
    <n v="0"/>
    <n v="0"/>
  </r>
  <r>
    <s v="E0377"/>
    <x v="0"/>
    <s v="Senior Systems Analyst"/>
    <n v="85700"/>
    <n v="98000"/>
    <n v="0.8744897959183674"/>
    <n v="2571"/>
    <n v="88271"/>
    <n v="2500"/>
    <n v="88200"/>
    <n v="7400"/>
    <n v="93100"/>
    <n v="1"/>
    <n v="1"/>
  </r>
  <r>
    <s v="E0378"/>
    <x v="3"/>
    <s v="Operations Assistant"/>
    <n v="51400"/>
    <n v="50000"/>
    <n v="1.028"/>
    <n v="1542"/>
    <n v="52942"/>
    <n v="0"/>
    <n v="51400"/>
    <n v="0"/>
    <n v="51400"/>
    <n v="0"/>
    <n v="0"/>
  </r>
  <r>
    <s v="E0379"/>
    <x v="5"/>
    <s v="Senior Financial Analyst"/>
    <n v="72700"/>
    <n v="88000"/>
    <n v="0.82613636363636367"/>
    <n v="2181"/>
    <n v="74881"/>
    <n v="6500"/>
    <n v="79200"/>
    <n v="10900"/>
    <n v="83600"/>
    <n v="1"/>
    <n v="1"/>
  </r>
  <r>
    <s v="E0380"/>
    <x v="2"/>
    <s v="Policy Analyst"/>
    <n v="68600"/>
    <n v="72000"/>
    <n v="0.95277777777777772"/>
    <n v="2058"/>
    <n v="70658"/>
    <n v="0"/>
    <n v="68600"/>
    <n v="0"/>
    <n v="68600"/>
    <n v="0"/>
    <n v="0"/>
  </r>
  <r>
    <s v="E0381"/>
    <x v="5"/>
    <s v="Finance Assistant"/>
    <n v="43100"/>
    <n v="52000"/>
    <n v="0.8288461538461539"/>
    <n v="1293"/>
    <n v="44393"/>
    <n v="3700"/>
    <n v="46800"/>
    <n v="6300"/>
    <n v="49400"/>
    <n v="1"/>
    <n v="1"/>
  </r>
  <r>
    <s v="E0382"/>
    <x v="4"/>
    <s v="Office Manager"/>
    <n v="63200"/>
    <n v="72000"/>
    <n v="0.87777777777777777"/>
    <n v="1896"/>
    <n v="65096"/>
    <n v="1600"/>
    <n v="64800"/>
    <n v="5200"/>
    <n v="68400"/>
    <n v="1"/>
    <n v="1"/>
  </r>
  <r>
    <s v="E0383"/>
    <x v="5"/>
    <s v="Financial Analyst"/>
    <n v="68300"/>
    <n v="70000"/>
    <n v="0.97571428571428576"/>
    <n v="2049"/>
    <n v="70349"/>
    <n v="0"/>
    <n v="68300"/>
    <n v="0"/>
    <n v="68300"/>
    <n v="0"/>
    <n v="0"/>
  </r>
  <r>
    <s v="E0384"/>
    <x v="2"/>
    <s v="Policy Analyst"/>
    <n v="68400"/>
    <n v="72000"/>
    <n v="0.95"/>
    <n v="2052"/>
    <n v="70452"/>
    <n v="0"/>
    <n v="68400"/>
    <n v="0"/>
    <n v="68400"/>
    <n v="0"/>
    <n v="0"/>
  </r>
  <r>
    <s v="E0385"/>
    <x v="5"/>
    <s v="Financial Analyst"/>
    <n v="69100"/>
    <n v="70000"/>
    <n v="0.9871428571428571"/>
    <n v="2073"/>
    <n v="71173"/>
    <n v="0"/>
    <n v="69100"/>
    <n v="0"/>
    <n v="69100"/>
    <n v="0"/>
    <n v="0"/>
  </r>
  <r>
    <s v="E0386"/>
    <x v="3"/>
    <s v="Operations Analyst"/>
    <n v="78200"/>
    <n v="68000"/>
    <n v="1.1499999999999999"/>
    <n v="2346"/>
    <n v="80546"/>
    <n v="0"/>
    <n v="78200"/>
    <n v="0"/>
    <n v="78200"/>
    <n v="0"/>
    <n v="0"/>
  </r>
  <r>
    <s v="E0387"/>
    <x v="0"/>
    <s v="Systems Analyst"/>
    <n v="79700"/>
    <n v="78000"/>
    <n v="1.0217948717948717"/>
    <n v="2391"/>
    <n v="82091"/>
    <n v="0"/>
    <n v="79700"/>
    <n v="0"/>
    <n v="79700"/>
    <n v="0"/>
    <n v="0"/>
  </r>
  <r>
    <s v="E0388"/>
    <x v="5"/>
    <s v="Finance Assistant"/>
    <n v="50000"/>
    <n v="52000"/>
    <n v="0.96153846153846156"/>
    <n v="1500"/>
    <n v="51500"/>
    <n v="0"/>
    <n v="50000"/>
    <n v="0"/>
    <n v="50000"/>
    <n v="0"/>
    <n v="0"/>
  </r>
  <r>
    <s v="E0389"/>
    <x v="3"/>
    <s v="Operations Assistant"/>
    <n v="44900"/>
    <n v="50000"/>
    <n v="0.89800000000000002"/>
    <n v="1347"/>
    <n v="46247"/>
    <n v="100"/>
    <n v="45000"/>
    <n v="2600"/>
    <n v="47500"/>
    <n v="1"/>
    <n v="1"/>
  </r>
  <r>
    <s v="E0390"/>
    <x v="1"/>
    <s v="HR Assistant"/>
    <n v="52200"/>
    <n v="50000"/>
    <n v="1.044"/>
    <n v="1566"/>
    <n v="53766"/>
    <n v="0"/>
    <n v="52200"/>
    <n v="0"/>
    <n v="52200"/>
    <n v="0"/>
    <n v="0"/>
  </r>
  <r>
    <s v="E0391"/>
    <x v="2"/>
    <s v="Policy Analyst"/>
    <n v="57000"/>
    <n v="72000"/>
    <n v="0.79166666666666663"/>
    <n v="1710"/>
    <n v="58710"/>
    <n v="7800"/>
    <n v="64800"/>
    <n v="11400"/>
    <n v="68400"/>
    <n v="1"/>
    <n v="1"/>
  </r>
  <r>
    <s v="E0392"/>
    <x v="2"/>
    <s v="Research Assistant"/>
    <n v="49600"/>
    <n v="52000"/>
    <n v="0.9538461538461539"/>
    <n v="1488"/>
    <n v="51088"/>
    <n v="0"/>
    <n v="49600"/>
    <n v="0"/>
    <n v="49600"/>
    <n v="0"/>
    <n v="0"/>
  </r>
  <r>
    <s v="E0393"/>
    <x v="2"/>
    <s v="Senior Policy Analyst"/>
    <n v="85900"/>
    <n v="90000"/>
    <n v="0.95444444444444443"/>
    <n v="2577"/>
    <n v="88477"/>
    <n v="0"/>
    <n v="85900"/>
    <n v="0"/>
    <n v="85900"/>
    <n v="0"/>
    <n v="0"/>
  </r>
  <r>
    <s v="E0394"/>
    <x v="1"/>
    <s v="HR Advisor"/>
    <n v="76000"/>
    <n v="82000"/>
    <n v="0.92682926829268297"/>
    <n v="2280"/>
    <n v="78280"/>
    <n v="0"/>
    <n v="76000"/>
    <n v="1900"/>
    <n v="77900"/>
    <n v="0"/>
    <n v="1"/>
  </r>
  <r>
    <s v="E0395"/>
    <x v="5"/>
    <s v="Financial Analyst"/>
    <n v="71000"/>
    <n v="70000"/>
    <n v="1.0142857142857142"/>
    <n v="2130"/>
    <n v="73130"/>
    <n v="0"/>
    <n v="71000"/>
    <n v="0"/>
    <n v="71000"/>
    <n v="0"/>
    <n v="0"/>
  </r>
  <r>
    <s v="E0396"/>
    <x v="4"/>
    <s v="Office Manager"/>
    <n v="78300"/>
    <n v="72000"/>
    <n v="1.0874999999999999"/>
    <n v="2349"/>
    <n v="80649"/>
    <n v="0"/>
    <n v="78300"/>
    <n v="0"/>
    <n v="78300"/>
    <n v="0"/>
    <n v="0"/>
  </r>
  <r>
    <s v="E0397"/>
    <x v="2"/>
    <s v="Research Assistant"/>
    <n v="47400"/>
    <n v="52000"/>
    <n v="0.91153846153846152"/>
    <n v="1422"/>
    <n v="48822"/>
    <n v="0"/>
    <n v="47400"/>
    <n v="2000"/>
    <n v="49400"/>
    <n v="0"/>
    <n v="1"/>
  </r>
  <r>
    <s v="E0398"/>
    <x v="0"/>
    <s v="Senior Systems Analyst"/>
    <n v="94800"/>
    <n v="98000"/>
    <n v="0.96734693877551026"/>
    <n v="2844"/>
    <n v="97644"/>
    <n v="0"/>
    <n v="94800"/>
    <n v="0"/>
    <n v="94800"/>
    <n v="0"/>
    <n v="0"/>
  </r>
  <r>
    <s v="E0399"/>
    <x v="0"/>
    <s v="IT Support Analyst"/>
    <n v="57800"/>
    <n v="58000"/>
    <n v="0.99655172413793103"/>
    <n v="1734"/>
    <n v="59534"/>
    <n v="0"/>
    <n v="57800"/>
    <n v="0"/>
    <n v="57800"/>
    <n v="0"/>
    <n v="0"/>
  </r>
  <r>
    <s v="E0400"/>
    <x v="2"/>
    <s v="Senior Policy Analyst"/>
    <n v="92100"/>
    <n v="90000"/>
    <n v="1.0233333333333334"/>
    <n v="2763"/>
    <n v="94863"/>
    <n v="0"/>
    <n v="92100"/>
    <n v="0"/>
    <n v="92100"/>
    <n v="0"/>
    <n v="0"/>
  </r>
  <r>
    <s v="E0401"/>
    <x v="0"/>
    <s v="Systems Analyst"/>
    <n v="77400"/>
    <n v="78000"/>
    <n v="0.99230769230769234"/>
    <n v="2322"/>
    <n v="79722"/>
    <n v="0"/>
    <n v="77400"/>
    <n v="0"/>
    <n v="77400"/>
    <n v="0"/>
    <n v="0"/>
  </r>
  <r>
    <s v="E0402"/>
    <x v="5"/>
    <s v="Financial Analyst"/>
    <n v="65800"/>
    <n v="70000"/>
    <n v="0.94"/>
    <n v="1974"/>
    <n v="67774"/>
    <n v="0"/>
    <n v="65800"/>
    <n v="700"/>
    <n v="66500"/>
    <n v="0"/>
    <n v="1"/>
  </r>
  <r>
    <s v="E0403"/>
    <x v="2"/>
    <s v="Policy Analyst"/>
    <n v="75100"/>
    <n v="72000"/>
    <n v="1.0430555555555556"/>
    <n v="2253"/>
    <n v="77353"/>
    <n v="0"/>
    <n v="75100"/>
    <n v="0"/>
    <n v="75100"/>
    <n v="0"/>
    <n v="0"/>
  </r>
  <r>
    <s v="E0404"/>
    <x v="2"/>
    <s v="Research Assistant"/>
    <n v="46800"/>
    <n v="52000"/>
    <n v="0.9"/>
    <n v="1404"/>
    <n v="48204"/>
    <n v="0"/>
    <n v="46800"/>
    <n v="2600"/>
    <n v="49400"/>
    <n v="0"/>
    <n v="1"/>
  </r>
  <r>
    <s v="E0405"/>
    <x v="2"/>
    <s v="Research Assistant"/>
    <n v="49300"/>
    <n v="52000"/>
    <n v="0.94807692307692304"/>
    <n v="1479"/>
    <n v="50779"/>
    <n v="0"/>
    <n v="49300"/>
    <n v="100"/>
    <n v="49400"/>
    <n v="0"/>
    <n v="1"/>
  </r>
  <r>
    <s v="E0406"/>
    <x v="2"/>
    <s v="Policy Analyst"/>
    <n v="84400"/>
    <n v="72000"/>
    <n v="1.1722222222222223"/>
    <n v="2532"/>
    <n v="86932"/>
    <n v="0"/>
    <n v="84400"/>
    <n v="0"/>
    <n v="84400"/>
    <n v="0"/>
    <n v="0"/>
  </r>
  <r>
    <s v="E0407"/>
    <x v="0"/>
    <s v="Systems Analyst"/>
    <n v="82000"/>
    <n v="78000"/>
    <n v="1.0512820512820513"/>
    <n v="2460"/>
    <n v="84460"/>
    <n v="0"/>
    <n v="82000"/>
    <n v="0"/>
    <n v="82000"/>
    <n v="0"/>
    <n v="0"/>
  </r>
  <r>
    <s v="E0408"/>
    <x v="5"/>
    <s v="Finance Assistant"/>
    <n v="51100"/>
    <n v="52000"/>
    <n v="0.98269230769230764"/>
    <n v="1533"/>
    <n v="52633"/>
    <n v="0"/>
    <n v="51100"/>
    <n v="0"/>
    <n v="51100"/>
    <n v="0"/>
    <n v="0"/>
  </r>
  <r>
    <s v="E0409"/>
    <x v="4"/>
    <s v="Administrative Assistant"/>
    <n v="47200"/>
    <n v="48000"/>
    <n v="0.98333333333333328"/>
    <n v="1416"/>
    <n v="48616"/>
    <n v="0"/>
    <n v="47200"/>
    <n v="0"/>
    <n v="47200"/>
    <n v="0"/>
    <n v="0"/>
  </r>
  <r>
    <s v="E0410"/>
    <x v="0"/>
    <s v="IT Support Analyst"/>
    <n v="54100"/>
    <n v="58000"/>
    <n v="0.9327586206896552"/>
    <n v="1623"/>
    <n v="55723"/>
    <n v="0"/>
    <n v="54100"/>
    <n v="1000"/>
    <n v="55100"/>
    <n v="0"/>
    <n v="1"/>
  </r>
  <r>
    <s v="E0411"/>
    <x v="1"/>
    <s v="HR Analyst"/>
    <n v="63800"/>
    <n v="68000"/>
    <n v="0.93823529411764706"/>
    <n v="1914"/>
    <n v="65714"/>
    <n v="0"/>
    <n v="63800"/>
    <n v="800"/>
    <n v="64600"/>
    <n v="0"/>
    <n v="1"/>
  </r>
  <r>
    <s v="E0412"/>
    <x v="2"/>
    <s v="Senior Policy Analyst"/>
    <n v="94300"/>
    <n v="90000"/>
    <n v="1.0477777777777777"/>
    <n v="2829"/>
    <n v="97129"/>
    <n v="0"/>
    <n v="94300"/>
    <n v="0"/>
    <n v="94300"/>
    <n v="0"/>
    <n v="0"/>
  </r>
  <r>
    <s v="E0413"/>
    <x v="4"/>
    <s v="Office Manager"/>
    <n v="76300"/>
    <n v="72000"/>
    <n v="1.0597222222222222"/>
    <n v="2289"/>
    <n v="78589"/>
    <n v="0"/>
    <n v="76300"/>
    <n v="0"/>
    <n v="76300"/>
    <n v="0"/>
    <n v="0"/>
  </r>
  <r>
    <s v="E0414"/>
    <x v="1"/>
    <s v="HR Assistant"/>
    <n v="50400"/>
    <n v="50000"/>
    <n v="1.008"/>
    <n v="1512"/>
    <n v="51912"/>
    <n v="0"/>
    <n v="50400"/>
    <n v="0"/>
    <n v="50400"/>
    <n v="0"/>
    <n v="0"/>
  </r>
  <r>
    <s v="E0415"/>
    <x v="5"/>
    <s v="Senior Financial Analyst"/>
    <n v="78200"/>
    <n v="88000"/>
    <n v="0.88863636363636367"/>
    <n v="2346"/>
    <n v="80546"/>
    <n v="1000"/>
    <n v="79200"/>
    <n v="5400"/>
    <n v="83600"/>
    <n v="1"/>
    <n v="1"/>
  </r>
  <r>
    <s v="E0416"/>
    <x v="5"/>
    <s v="Finance Assistant"/>
    <n v="55600"/>
    <n v="52000"/>
    <n v="1.0692307692307692"/>
    <n v="1668"/>
    <n v="57268"/>
    <n v="0"/>
    <n v="55600"/>
    <n v="0"/>
    <n v="55600"/>
    <n v="0"/>
    <n v="0"/>
  </r>
  <r>
    <s v="E0417"/>
    <x v="5"/>
    <s v="Financial Analyst"/>
    <n v="70700"/>
    <n v="70000"/>
    <n v="1.01"/>
    <n v="2121"/>
    <n v="72821"/>
    <n v="0"/>
    <n v="70700"/>
    <n v="0"/>
    <n v="70700"/>
    <n v="0"/>
    <n v="0"/>
  </r>
  <r>
    <s v="E0418"/>
    <x v="5"/>
    <s v="Senior Financial Analyst"/>
    <n v="95100"/>
    <n v="88000"/>
    <n v="1.0806818181818181"/>
    <n v="2853"/>
    <n v="97953"/>
    <n v="0"/>
    <n v="95100"/>
    <n v="0"/>
    <n v="95100"/>
    <n v="0"/>
    <n v="0"/>
  </r>
  <r>
    <s v="E0419"/>
    <x v="0"/>
    <s v="Systems Analyst"/>
    <n v="77700"/>
    <n v="78000"/>
    <n v="0.99615384615384617"/>
    <n v="2331"/>
    <n v="80031"/>
    <n v="0"/>
    <n v="77700"/>
    <n v="0"/>
    <n v="77700"/>
    <n v="0"/>
    <n v="0"/>
  </r>
  <r>
    <s v="E0420"/>
    <x v="3"/>
    <s v="Operations Manager"/>
    <n v="99200"/>
    <n v="85000"/>
    <n v="1.1670588235294117"/>
    <n v="2976"/>
    <n v="102176"/>
    <n v="0"/>
    <n v="99200"/>
    <n v="0"/>
    <n v="99200"/>
    <n v="0"/>
    <n v="0"/>
  </r>
  <r>
    <s v="E0421"/>
    <x v="0"/>
    <s v="Senior Systems Analyst"/>
    <n v="101200"/>
    <n v="98000"/>
    <n v="1.0326530612244897"/>
    <n v="3036"/>
    <n v="104236"/>
    <n v="0"/>
    <n v="101200"/>
    <n v="0"/>
    <n v="101200"/>
    <n v="0"/>
    <n v="0"/>
  </r>
  <r>
    <s v="E0422"/>
    <x v="0"/>
    <s v="Systems Analyst"/>
    <n v="73900"/>
    <n v="78000"/>
    <n v="0.9474358974358974"/>
    <n v="2217"/>
    <n v="76117"/>
    <n v="0"/>
    <n v="73900"/>
    <n v="200"/>
    <n v="74100"/>
    <n v="0"/>
    <n v="1"/>
  </r>
  <r>
    <s v="E0423"/>
    <x v="4"/>
    <s v="Administrative Coordinator"/>
    <n v="45000"/>
    <n v="58000"/>
    <n v="0.77586206896551724"/>
    <n v="1350"/>
    <n v="46350"/>
    <n v="7200"/>
    <n v="52200"/>
    <n v="10100"/>
    <n v="55100"/>
    <n v="1"/>
    <n v="1"/>
  </r>
  <r>
    <s v="E0424"/>
    <x v="4"/>
    <s v="Administrative Coordinator"/>
    <n v="43800"/>
    <n v="58000"/>
    <n v="0.7551724137931034"/>
    <n v="1314"/>
    <n v="45114"/>
    <n v="8400"/>
    <n v="52200"/>
    <n v="11300"/>
    <n v="55100"/>
    <n v="1"/>
    <n v="1"/>
  </r>
  <r>
    <s v="E0425"/>
    <x v="2"/>
    <s v="Senior Policy Analyst"/>
    <n v="92200"/>
    <n v="90000"/>
    <n v="1.0244444444444445"/>
    <n v="2766"/>
    <n v="94966"/>
    <n v="0"/>
    <n v="92200"/>
    <n v="0"/>
    <n v="92200"/>
    <n v="0"/>
    <n v="0"/>
  </r>
  <r>
    <s v="E0426"/>
    <x v="0"/>
    <s v="IT Support Analyst"/>
    <n v="53000"/>
    <n v="58000"/>
    <n v="0.91379310344827591"/>
    <n v="1590"/>
    <n v="54590"/>
    <n v="0"/>
    <n v="53000"/>
    <n v="2100"/>
    <n v="55100"/>
    <n v="0"/>
    <n v="1"/>
  </r>
  <r>
    <s v="E0427"/>
    <x v="2"/>
    <s v="Policy Analyst"/>
    <n v="71100"/>
    <n v="72000"/>
    <n v="0.98750000000000004"/>
    <n v="2133"/>
    <n v="73233"/>
    <n v="0"/>
    <n v="71100"/>
    <n v="0"/>
    <n v="71100"/>
    <n v="0"/>
    <n v="0"/>
  </r>
  <r>
    <s v="E0428"/>
    <x v="0"/>
    <s v="Senior Systems Analyst"/>
    <n v="108800"/>
    <n v="98000"/>
    <n v="1.1102040816326531"/>
    <n v="3264"/>
    <n v="112064"/>
    <n v="0"/>
    <n v="108800"/>
    <n v="0"/>
    <n v="108800"/>
    <n v="0"/>
    <n v="0"/>
  </r>
  <r>
    <s v="E0429"/>
    <x v="0"/>
    <s v="IT Support Analyst"/>
    <n v="57400"/>
    <n v="58000"/>
    <n v="0.98965517241379308"/>
    <n v="1722"/>
    <n v="59122"/>
    <n v="0"/>
    <n v="57400"/>
    <n v="0"/>
    <n v="57400"/>
    <n v="0"/>
    <n v="0"/>
  </r>
  <r>
    <s v="E0430"/>
    <x v="1"/>
    <s v="HR Analyst"/>
    <n v="60200"/>
    <n v="68000"/>
    <n v="0.88529411764705879"/>
    <n v="1806"/>
    <n v="62006"/>
    <n v="1000"/>
    <n v="61200"/>
    <n v="4400"/>
    <n v="64600"/>
    <n v="1"/>
    <n v="1"/>
  </r>
  <r>
    <s v="E0431"/>
    <x v="0"/>
    <s v="IT Support Analyst"/>
    <n v="58900"/>
    <n v="58000"/>
    <n v="1.0155172413793103"/>
    <n v="1767"/>
    <n v="60667"/>
    <n v="0"/>
    <n v="58900"/>
    <n v="0"/>
    <n v="58900"/>
    <n v="0"/>
    <n v="0"/>
  </r>
  <r>
    <s v="E0432"/>
    <x v="3"/>
    <s v="Operations Manager"/>
    <n v="92900"/>
    <n v="85000"/>
    <n v="1.0929411764705883"/>
    <n v="2787"/>
    <n v="95687"/>
    <n v="0"/>
    <n v="92900"/>
    <n v="0"/>
    <n v="92900"/>
    <n v="0"/>
    <n v="0"/>
  </r>
  <r>
    <s v="E0433"/>
    <x v="4"/>
    <s v="Administrative Assistant"/>
    <n v="52000"/>
    <n v="48000"/>
    <n v="1.0833333333333333"/>
    <n v="1560"/>
    <n v="53560"/>
    <n v="0"/>
    <n v="52000"/>
    <n v="0"/>
    <n v="52000"/>
    <n v="0"/>
    <n v="0"/>
  </r>
  <r>
    <s v="E0434"/>
    <x v="0"/>
    <s v="IT Support Analyst"/>
    <n v="56500"/>
    <n v="58000"/>
    <n v="0.97413793103448276"/>
    <n v="1695"/>
    <n v="58195"/>
    <n v="0"/>
    <n v="56500"/>
    <n v="0"/>
    <n v="56500"/>
    <n v="0"/>
    <n v="0"/>
  </r>
  <r>
    <s v="E0435"/>
    <x v="1"/>
    <s v="HR Analyst"/>
    <n v="76000"/>
    <n v="68000"/>
    <n v="1.1176470588235294"/>
    <n v="2280"/>
    <n v="78280"/>
    <n v="0"/>
    <n v="76000"/>
    <n v="0"/>
    <n v="76000"/>
    <n v="0"/>
    <n v="0"/>
  </r>
  <r>
    <s v="E0436"/>
    <x v="1"/>
    <s v="HR Advisor"/>
    <n v="81100"/>
    <n v="82000"/>
    <n v="0.98902439024390243"/>
    <n v="2433"/>
    <n v="83533"/>
    <n v="0"/>
    <n v="81100"/>
    <n v="0"/>
    <n v="81100"/>
    <n v="0"/>
    <n v="0"/>
  </r>
  <r>
    <s v="E0437"/>
    <x v="2"/>
    <s v="Research Assistant"/>
    <n v="50600"/>
    <n v="52000"/>
    <n v="0.97307692307692306"/>
    <n v="1518"/>
    <n v="52118"/>
    <n v="0"/>
    <n v="50600"/>
    <n v="0"/>
    <n v="50600"/>
    <n v="0"/>
    <n v="0"/>
  </r>
  <r>
    <s v="E0438"/>
    <x v="0"/>
    <s v="IT Support Analyst"/>
    <n v="56500"/>
    <n v="58000"/>
    <n v="0.97413793103448276"/>
    <n v="1695"/>
    <n v="58195"/>
    <n v="0"/>
    <n v="56500"/>
    <n v="0"/>
    <n v="56500"/>
    <n v="0"/>
    <n v="0"/>
  </r>
  <r>
    <s v="E0439"/>
    <x v="5"/>
    <s v="Finance Assistant"/>
    <n v="47000"/>
    <n v="52000"/>
    <n v="0.90384615384615385"/>
    <n v="1410"/>
    <n v="48410"/>
    <n v="0"/>
    <n v="47000"/>
    <n v="2400"/>
    <n v="49400"/>
    <n v="0"/>
    <n v="1"/>
  </r>
  <r>
    <s v="E0440"/>
    <x v="1"/>
    <s v="HR Assistant"/>
    <n v="43400"/>
    <n v="50000"/>
    <n v="0.86799999999999999"/>
    <n v="1302"/>
    <n v="44702"/>
    <n v="1600"/>
    <n v="45000"/>
    <n v="4100"/>
    <n v="47500"/>
    <n v="1"/>
    <n v="1"/>
  </r>
  <r>
    <s v="E0441"/>
    <x v="0"/>
    <s v="Systems Analyst"/>
    <n v="71000"/>
    <n v="78000"/>
    <n v="0.91025641025641024"/>
    <n v="2130"/>
    <n v="73130"/>
    <n v="0"/>
    <n v="71000"/>
    <n v="3100"/>
    <n v="74100"/>
    <n v="0"/>
    <n v="1"/>
  </r>
  <r>
    <s v="E0442"/>
    <x v="2"/>
    <s v="Research Assistant"/>
    <n v="47300"/>
    <n v="52000"/>
    <n v="0.9096153846153846"/>
    <n v="1419"/>
    <n v="48719"/>
    <n v="0"/>
    <n v="47300"/>
    <n v="2100"/>
    <n v="49400"/>
    <n v="0"/>
    <n v="1"/>
  </r>
  <r>
    <s v="E0443"/>
    <x v="3"/>
    <s v="Operations Manager"/>
    <n v="96600"/>
    <n v="85000"/>
    <n v="1.1364705882352941"/>
    <n v="2898"/>
    <n v="99498"/>
    <n v="0"/>
    <n v="96600"/>
    <n v="0"/>
    <n v="96600"/>
    <n v="0"/>
    <n v="0"/>
  </r>
  <r>
    <s v="E0444"/>
    <x v="3"/>
    <s v="Operations Analyst"/>
    <n v="77400"/>
    <n v="68000"/>
    <n v="1.138235294117647"/>
    <n v="2322"/>
    <n v="79722"/>
    <n v="0"/>
    <n v="77400"/>
    <n v="0"/>
    <n v="77400"/>
    <n v="0"/>
    <n v="0"/>
  </r>
  <r>
    <s v="E0445"/>
    <x v="0"/>
    <s v="Senior Systems Analyst"/>
    <n v="97600"/>
    <n v="98000"/>
    <n v="0.99591836734693873"/>
    <n v="2928"/>
    <n v="100528"/>
    <n v="0"/>
    <n v="97600"/>
    <n v="0"/>
    <n v="97600"/>
    <n v="0"/>
    <n v="0"/>
  </r>
  <r>
    <s v="E0446"/>
    <x v="0"/>
    <s v="Systems Analyst"/>
    <n v="67700"/>
    <n v="78000"/>
    <n v="0.86794871794871797"/>
    <n v="2031"/>
    <n v="69731"/>
    <n v="2500"/>
    <n v="70200"/>
    <n v="6400"/>
    <n v="74100"/>
    <n v="1"/>
    <n v="1"/>
  </r>
  <r>
    <s v="E0447"/>
    <x v="0"/>
    <s v="Senior Systems Analyst"/>
    <n v="96600"/>
    <n v="98000"/>
    <n v="0.98571428571428577"/>
    <n v="2898"/>
    <n v="99498"/>
    <n v="0"/>
    <n v="96600"/>
    <n v="0"/>
    <n v="96600"/>
    <n v="0"/>
    <n v="0"/>
  </r>
  <r>
    <s v="E0448"/>
    <x v="4"/>
    <s v="Administrative Coordinator"/>
    <n v="51700"/>
    <n v="58000"/>
    <n v="0.89137931034482754"/>
    <n v="1551"/>
    <n v="53251"/>
    <n v="500"/>
    <n v="52200"/>
    <n v="3400"/>
    <n v="55100"/>
    <n v="1"/>
    <n v="1"/>
  </r>
  <r>
    <s v="E0449"/>
    <x v="0"/>
    <s v="Senior Systems Analyst"/>
    <n v="95000"/>
    <n v="98000"/>
    <n v="0.96938775510204078"/>
    <n v="2850"/>
    <n v="97850"/>
    <n v="0"/>
    <n v="95000"/>
    <n v="0"/>
    <n v="95000"/>
    <n v="0"/>
    <n v="0"/>
  </r>
  <r>
    <s v="E0450"/>
    <x v="4"/>
    <s v="Administrative Coordinator"/>
    <n v="58400"/>
    <n v="58000"/>
    <n v="1.0068965517241379"/>
    <n v="1752"/>
    <n v="60152"/>
    <n v="0"/>
    <n v="58400"/>
    <n v="0"/>
    <n v="58400"/>
    <n v="0"/>
    <n v="0"/>
  </r>
  <r>
    <s v="E0451"/>
    <x v="1"/>
    <s v="HR Advisor"/>
    <n v="84900"/>
    <n v="82000"/>
    <n v="1.0353658536585366"/>
    <n v="2547"/>
    <n v="87447"/>
    <n v="0"/>
    <n v="84900"/>
    <n v="0"/>
    <n v="84900"/>
    <n v="0"/>
    <n v="0"/>
  </r>
  <r>
    <s v="E0452"/>
    <x v="5"/>
    <s v="Finance Assistant"/>
    <n v="54000"/>
    <n v="52000"/>
    <n v="1.0384615384615385"/>
    <n v="1620"/>
    <n v="55620"/>
    <n v="0"/>
    <n v="54000"/>
    <n v="0"/>
    <n v="54000"/>
    <n v="0"/>
    <n v="0"/>
  </r>
  <r>
    <s v="E0453"/>
    <x v="5"/>
    <s v="Senior Financial Analyst"/>
    <n v="98400"/>
    <n v="88000"/>
    <n v="1.1181818181818182"/>
    <n v="2952"/>
    <n v="101352"/>
    <n v="0"/>
    <n v="98400"/>
    <n v="0"/>
    <n v="98400"/>
    <n v="0"/>
    <n v="0"/>
  </r>
  <r>
    <s v="E0454"/>
    <x v="3"/>
    <s v="Operations Assistant"/>
    <n v="55900"/>
    <n v="50000"/>
    <n v="1.1180000000000001"/>
    <n v="1677"/>
    <n v="57577"/>
    <n v="0"/>
    <n v="55900"/>
    <n v="0"/>
    <n v="55900"/>
    <n v="0"/>
    <n v="0"/>
  </r>
  <r>
    <s v="E0455"/>
    <x v="1"/>
    <s v="HR Analyst"/>
    <n v="68100"/>
    <n v="68000"/>
    <n v="1.0014705882352941"/>
    <n v="2043"/>
    <n v="70143"/>
    <n v="0"/>
    <n v="68100"/>
    <n v="0"/>
    <n v="68100"/>
    <n v="0"/>
    <n v="0"/>
  </r>
  <r>
    <s v="E0456"/>
    <x v="5"/>
    <s v="Finance Assistant"/>
    <n v="46600"/>
    <n v="52000"/>
    <n v="0.89615384615384619"/>
    <n v="1398"/>
    <n v="47998"/>
    <n v="200"/>
    <n v="46800"/>
    <n v="2800"/>
    <n v="49400"/>
    <n v="1"/>
    <n v="1"/>
  </r>
  <r>
    <s v="E0457"/>
    <x v="0"/>
    <s v="Systems Analyst"/>
    <n v="74900"/>
    <n v="78000"/>
    <n v="0.96025641025641029"/>
    <n v="2247"/>
    <n v="77147"/>
    <n v="0"/>
    <n v="74900"/>
    <n v="0"/>
    <n v="74900"/>
    <n v="0"/>
    <n v="0"/>
  </r>
  <r>
    <s v="E0458"/>
    <x v="0"/>
    <s v="Systems Analyst"/>
    <n v="75200"/>
    <n v="78000"/>
    <n v="0.96410256410256412"/>
    <n v="2256"/>
    <n v="77456"/>
    <n v="0"/>
    <n v="75200"/>
    <n v="0"/>
    <n v="75200"/>
    <n v="0"/>
    <n v="0"/>
  </r>
  <r>
    <s v="E0459"/>
    <x v="0"/>
    <s v="IT Support Analyst"/>
    <n v="54500"/>
    <n v="58000"/>
    <n v="0.93965517241379315"/>
    <n v="1635"/>
    <n v="56135"/>
    <n v="0"/>
    <n v="54500"/>
    <n v="600"/>
    <n v="55100"/>
    <n v="0"/>
    <n v="1"/>
  </r>
  <r>
    <s v="E0460"/>
    <x v="0"/>
    <s v="Senior Systems Analyst"/>
    <n v="91100"/>
    <n v="98000"/>
    <n v="0.92959183673469392"/>
    <n v="2733"/>
    <n v="93833"/>
    <n v="0"/>
    <n v="91100"/>
    <n v="2000"/>
    <n v="93100"/>
    <n v="0"/>
    <n v="1"/>
  </r>
  <r>
    <s v="E0461"/>
    <x v="3"/>
    <s v="Operations Analyst"/>
    <n v="72500"/>
    <n v="68000"/>
    <n v="1.0661764705882353"/>
    <n v="2175"/>
    <n v="74675"/>
    <n v="0"/>
    <n v="72500"/>
    <n v="0"/>
    <n v="72500"/>
    <n v="0"/>
    <n v="0"/>
  </r>
  <r>
    <s v="E0462"/>
    <x v="3"/>
    <s v="Operations Assistant"/>
    <n v="46300"/>
    <n v="50000"/>
    <n v="0.92600000000000005"/>
    <n v="1389"/>
    <n v="47689"/>
    <n v="0"/>
    <n v="46300"/>
    <n v="1200"/>
    <n v="47500"/>
    <n v="0"/>
    <n v="1"/>
  </r>
  <r>
    <s v="E0463"/>
    <x v="1"/>
    <s v="HR Analyst"/>
    <n v="48100"/>
    <n v="68000"/>
    <n v="0.70735294117647063"/>
    <n v="1443"/>
    <n v="49543"/>
    <n v="13100"/>
    <n v="61200"/>
    <n v="16500"/>
    <n v="64600"/>
    <n v="1"/>
    <n v="1"/>
  </r>
  <r>
    <s v="E0464"/>
    <x v="3"/>
    <s v="Operations Manager"/>
    <n v="88300"/>
    <n v="85000"/>
    <n v="1.0388235294117647"/>
    <n v="2649"/>
    <n v="90949"/>
    <n v="0"/>
    <n v="88300"/>
    <n v="0"/>
    <n v="88300"/>
    <n v="0"/>
    <n v="0"/>
  </r>
  <r>
    <s v="E0465"/>
    <x v="1"/>
    <s v="HR Advisor"/>
    <n v="77000"/>
    <n v="82000"/>
    <n v="0.93902439024390238"/>
    <n v="2310"/>
    <n v="79310"/>
    <n v="0"/>
    <n v="77000"/>
    <n v="900"/>
    <n v="77900"/>
    <n v="0"/>
    <n v="1"/>
  </r>
  <r>
    <s v="E0466"/>
    <x v="3"/>
    <s v="Operations Assistant"/>
    <n v="44500"/>
    <n v="50000"/>
    <n v="0.89"/>
    <n v="1335"/>
    <n v="45835"/>
    <n v="500"/>
    <n v="45000"/>
    <n v="3000"/>
    <n v="47500"/>
    <n v="1"/>
    <n v="1"/>
  </r>
  <r>
    <s v="E0467"/>
    <x v="5"/>
    <s v="Finance Assistant"/>
    <n v="46500"/>
    <n v="52000"/>
    <n v="0.89423076923076927"/>
    <n v="1395"/>
    <n v="47895"/>
    <n v="300"/>
    <n v="46800"/>
    <n v="2900"/>
    <n v="49400"/>
    <n v="1"/>
    <n v="1"/>
  </r>
  <r>
    <s v="E0468"/>
    <x v="1"/>
    <s v="HR Assistant"/>
    <n v="42200"/>
    <n v="50000"/>
    <n v="0.84399999999999997"/>
    <n v="1266"/>
    <n v="43466"/>
    <n v="2800"/>
    <n v="45000"/>
    <n v="5300"/>
    <n v="47500"/>
    <n v="1"/>
    <n v="1"/>
  </r>
  <r>
    <s v="E0469"/>
    <x v="4"/>
    <s v="Administrative Assistant"/>
    <n v="42700"/>
    <n v="48000"/>
    <n v="0.88958333333333328"/>
    <n v="1281"/>
    <n v="43981"/>
    <n v="500"/>
    <n v="43200"/>
    <n v="2900"/>
    <n v="45600"/>
    <n v="1"/>
    <n v="1"/>
  </r>
  <r>
    <s v="E0470"/>
    <x v="4"/>
    <s v="Office Manager"/>
    <n v="80100"/>
    <n v="72000"/>
    <n v="1.1125"/>
    <n v="2403"/>
    <n v="82503"/>
    <n v="0"/>
    <n v="80100"/>
    <n v="0"/>
    <n v="80100"/>
    <n v="0"/>
    <n v="0"/>
  </r>
  <r>
    <s v="E0471"/>
    <x v="2"/>
    <s v="Research Assistant"/>
    <n v="56900"/>
    <n v="52000"/>
    <n v="1.0942307692307693"/>
    <n v="1707"/>
    <n v="58607"/>
    <n v="0"/>
    <n v="56900"/>
    <n v="0"/>
    <n v="56900"/>
    <n v="0"/>
    <n v="0"/>
  </r>
  <r>
    <s v="E0472"/>
    <x v="4"/>
    <s v="Administrative Assistant"/>
    <n v="46600"/>
    <n v="48000"/>
    <n v="0.97083333333333333"/>
    <n v="1398"/>
    <n v="47998"/>
    <n v="0"/>
    <n v="46600"/>
    <n v="0"/>
    <n v="46600"/>
    <n v="0"/>
    <n v="0"/>
  </r>
  <r>
    <s v="E0473"/>
    <x v="3"/>
    <s v="Operations Analyst"/>
    <n v="67300"/>
    <n v="68000"/>
    <n v="0.98970588235294121"/>
    <n v="2019"/>
    <n v="69319"/>
    <n v="0"/>
    <n v="67300"/>
    <n v="0"/>
    <n v="67300"/>
    <n v="0"/>
    <n v="0"/>
  </r>
  <r>
    <s v="E0474"/>
    <x v="4"/>
    <s v="Administrative Coordinator"/>
    <n v="50000"/>
    <n v="58000"/>
    <n v="0.86206896551724133"/>
    <n v="1500"/>
    <n v="51500"/>
    <n v="2200"/>
    <n v="52200"/>
    <n v="5100"/>
    <n v="55100"/>
    <n v="1"/>
    <n v="1"/>
  </r>
  <r>
    <s v="E0475"/>
    <x v="1"/>
    <s v="HR Assistant"/>
    <n v="47600"/>
    <n v="50000"/>
    <n v="0.95199999999999996"/>
    <n v="1428"/>
    <n v="49028"/>
    <n v="0"/>
    <n v="47600"/>
    <n v="0"/>
    <n v="47600"/>
    <n v="0"/>
    <n v="0"/>
  </r>
  <r>
    <s v="E0476"/>
    <x v="0"/>
    <s v="Senior Systems Analyst"/>
    <n v="86000"/>
    <n v="98000"/>
    <n v="0.87755102040816324"/>
    <n v="2580"/>
    <n v="88580"/>
    <n v="2200"/>
    <n v="88200"/>
    <n v="7100"/>
    <n v="93100"/>
    <n v="1"/>
    <n v="1"/>
  </r>
  <r>
    <s v="E0477"/>
    <x v="1"/>
    <s v="HR Advisor"/>
    <n v="72100"/>
    <n v="82000"/>
    <n v="0.87926829268292683"/>
    <n v="2163"/>
    <n v="74263"/>
    <n v="1700"/>
    <n v="73800"/>
    <n v="5800"/>
    <n v="77900"/>
    <n v="1"/>
    <n v="1"/>
  </r>
  <r>
    <s v="E0478"/>
    <x v="0"/>
    <s v="Systems Analyst"/>
    <n v="70100"/>
    <n v="78000"/>
    <n v="0.89871794871794874"/>
    <n v="2103"/>
    <n v="72203"/>
    <n v="100"/>
    <n v="70200"/>
    <n v="4000"/>
    <n v="74100"/>
    <n v="1"/>
    <n v="1"/>
  </r>
  <r>
    <s v="E0479"/>
    <x v="2"/>
    <s v="Senior Policy Analyst"/>
    <n v="82900"/>
    <n v="90000"/>
    <n v="0.9211111111111111"/>
    <n v="2487"/>
    <n v="85387"/>
    <n v="0"/>
    <n v="82900"/>
    <n v="2600"/>
    <n v="85500"/>
    <n v="0"/>
    <n v="1"/>
  </r>
  <r>
    <s v="E0480"/>
    <x v="5"/>
    <s v="Financial Analyst"/>
    <n v="55600"/>
    <n v="70000"/>
    <n v="0.79428571428571426"/>
    <n v="1668"/>
    <n v="57268"/>
    <n v="7400"/>
    <n v="63000"/>
    <n v="10900"/>
    <n v="66500"/>
    <n v="1"/>
    <n v="1"/>
  </r>
  <r>
    <s v="E0481"/>
    <x v="4"/>
    <s v="Administrative Coordinator"/>
    <n v="54100"/>
    <n v="58000"/>
    <n v="0.9327586206896552"/>
    <n v="1623"/>
    <n v="55723"/>
    <n v="0"/>
    <n v="54100"/>
    <n v="1000"/>
    <n v="55100"/>
    <n v="0"/>
    <n v="1"/>
  </r>
  <r>
    <s v="E0482"/>
    <x v="3"/>
    <s v="Operations Manager"/>
    <n v="107900"/>
    <n v="85000"/>
    <n v="1.2694117647058825"/>
    <n v="3237"/>
    <n v="111137"/>
    <n v="0"/>
    <n v="107900"/>
    <n v="0"/>
    <n v="107900"/>
    <n v="0"/>
    <n v="0"/>
  </r>
  <r>
    <s v="E0483"/>
    <x v="1"/>
    <s v="HR Analyst"/>
    <n v="52200"/>
    <n v="68000"/>
    <n v="0.76764705882352946"/>
    <n v="1566"/>
    <n v="53766"/>
    <n v="9000"/>
    <n v="61200"/>
    <n v="12400"/>
    <n v="64600"/>
    <n v="1"/>
    <n v="1"/>
  </r>
  <r>
    <s v="E0484"/>
    <x v="0"/>
    <s v="IT Support Analyst"/>
    <n v="56300"/>
    <n v="58000"/>
    <n v="0.97068965517241379"/>
    <n v="1689"/>
    <n v="57989"/>
    <n v="0"/>
    <n v="56300"/>
    <n v="0"/>
    <n v="56300"/>
    <n v="0"/>
    <n v="0"/>
  </r>
  <r>
    <s v="E0485"/>
    <x v="4"/>
    <s v="Office Manager"/>
    <n v="59600"/>
    <n v="72000"/>
    <n v="0.82777777777777772"/>
    <n v="1788"/>
    <n v="61388"/>
    <n v="5200"/>
    <n v="64800"/>
    <n v="8800"/>
    <n v="68400"/>
    <n v="1"/>
    <n v="1"/>
  </r>
  <r>
    <s v="E0486"/>
    <x v="0"/>
    <s v="Systems Analyst"/>
    <n v="75000"/>
    <n v="78000"/>
    <n v="0.96153846153846156"/>
    <n v="2250"/>
    <n v="77250"/>
    <n v="0"/>
    <n v="75000"/>
    <n v="0"/>
    <n v="75000"/>
    <n v="0"/>
    <n v="0"/>
  </r>
  <r>
    <s v="E0487"/>
    <x v="1"/>
    <s v="HR Assistant"/>
    <n v="47600"/>
    <n v="50000"/>
    <n v="0.95199999999999996"/>
    <n v="1428"/>
    <n v="49028"/>
    <n v="0"/>
    <n v="47600"/>
    <n v="0"/>
    <n v="47600"/>
    <n v="0"/>
    <n v="0"/>
  </r>
  <r>
    <s v="E0488"/>
    <x v="0"/>
    <s v="IT Support Analyst"/>
    <n v="47700"/>
    <n v="58000"/>
    <n v="0.82241379310344831"/>
    <n v="1431"/>
    <n v="49131"/>
    <n v="4500"/>
    <n v="52200"/>
    <n v="7400"/>
    <n v="55100"/>
    <n v="1"/>
    <n v="1"/>
  </r>
  <r>
    <s v="E0489"/>
    <x v="0"/>
    <s v="Senior Systems Analyst"/>
    <n v="85900"/>
    <n v="98000"/>
    <n v="0.87653061224489792"/>
    <n v="2577"/>
    <n v="88477"/>
    <n v="2300"/>
    <n v="88200"/>
    <n v="7200"/>
    <n v="93100"/>
    <n v="1"/>
    <n v="1"/>
  </r>
  <r>
    <s v="E0490"/>
    <x v="4"/>
    <s v="Office Manager"/>
    <n v="69900"/>
    <n v="72000"/>
    <n v="0.97083333333333333"/>
    <n v="2097"/>
    <n v="71997"/>
    <n v="0"/>
    <n v="69900"/>
    <n v="0"/>
    <n v="69900"/>
    <n v="0"/>
    <n v="0"/>
  </r>
  <r>
    <s v="E0491"/>
    <x v="4"/>
    <s v="Office Manager"/>
    <n v="76700"/>
    <n v="72000"/>
    <n v="1.0652777777777778"/>
    <n v="2301"/>
    <n v="79001"/>
    <n v="0"/>
    <n v="76700"/>
    <n v="0"/>
    <n v="76700"/>
    <n v="0"/>
    <n v="0"/>
  </r>
  <r>
    <s v="E0492"/>
    <x v="0"/>
    <s v="Systems Analyst"/>
    <n v="85300"/>
    <n v="78000"/>
    <n v="1.0935897435897435"/>
    <n v="2559"/>
    <n v="87859"/>
    <n v="0"/>
    <n v="85300"/>
    <n v="0"/>
    <n v="85300"/>
    <n v="0"/>
    <n v="0"/>
  </r>
  <r>
    <s v="E0493"/>
    <x v="4"/>
    <s v="Administrative Assistant"/>
    <n v="46500"/>
    <n v="48000"/>
    <n v="0.96875"/>
    <n v="1395"/>
    <n v="47895"/>
    <n v="0"/>
    <n v="46500"/>
    <n v="0"/>
    <n v="46500"/>
    <n v="0"/>
    <n v="0"/>
  </r>
  <r>
    <s v="E0494"/>
    <x v="2"/>
    <s v="Research Assistant"/>
    <n v="47600"/>
    <n v="52000"/>
    <n v="0.91538461538461535"/>
    <n v="1428"/>
    <n v="49028"/>
    <n v="0"/>
    <n v="47600"/>
    <n v="1800"/>
    <n v="49400"/>
    <n v="0"/>
    <n v="1"/>
  </r>
  <r>
    <s v="E0495"/>
    <x v="5"/>
    <s v="Financial Analyst"/>
    <n v="57200"/>
    <n v="70000"/>
    <n v="0.81714285714285717"/>
    <n v="1716"/>
    <n v="58916"/>
    <n v="5800"/>
    <n v="63000"/>
    <n v="9300"/>
    <n v="66500"/>
    <n v="1"/>
    <n v="1"/>
  </r>
  <r>
    <s v="E0496"/>
    <x v="5"/>
    <s v="Financial Analyst"/>
    <n v="74100"/>
    <n v="70000"/>
    <n v="1.0585714285714285"/>
    <n v="2223"/>
    <n v="76323"/>
    <n v="0"/>
    <n v="74100"/>
    <n v="0"/>
    <n v="74100"/>
    <n v="0"/>
    <n v="0"/>
  </r>
  <r>
    <s v="E0497"/>
    <x v="3"/>
    <s v="Operations Analyst"/>
    <n v="60800"/>
    <n v="68000"/>
    <n v="0.89411764705882357"/>
    <n v="1824"/>
    <n v="62624"/>
    <n v="400"/>
    <n v="61200"/>
    <n v="3800"/>
    <n v="64600"/>
    <n v="1"/>
    <n v="1"/>
  </r>
  <r>
    <s v="E0498"/>
    <x v="4"/>
    <s v="Office Manager"/>
    <n v="65400"/>
    <n v="72000"/>
    <n v="0.90833333333333333"/>
    <n v="1962"/>
    <n v="67362"/>
    <n v="0"/>
    <n v="65400"/>
    <n v="3000"/>
    <n v="68400"/>
    <n v="0"/>
    <n v="1"/>
  </r>
  <r>
    <s v="E0499"/>
    <x v="1"/>
    <s v="HR Assistant"/>
    <n v="51500"/>
    <n v="50000"/>
    <n v="1.03"/>
    <n v="1545"/>
    <n v="53045"/>
    <n v="0"/>
    <n v="51500"/>
    <n v="0"/>
    <n v="51500"/>
    <n v="0"/>
    <n v="0"/>
  </r>
  <r>
    <s v="E0500"/>
    <x v="3"/>
    <s v="Operations Manager"/>
    <n v="86000"/>
    <n v="85000"/>
    <n v="1.0117647058823529"/>
    <n v="2580"/>
    <n v="88580"/>
    <n v="0"/>
    <n v="86000"/>
    <n v="0"/>
    <n v="86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0A300-03BE-413C-A991-3F8D4EFFDDB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8:C35" firstHeaderRow="0" firstDataRow="1" firstDataCol="1"/>
  <pivotFields count="14">
    <pivotField showAll="0"/>
    <pivotField axis="axisRow" showAll="0">
      <items count="7">
        <item x="4"/>
        <item x="5"/>
        <item x="1"/>
        <item x="0"/>
        <item x="3"/>
        <item x="2"/>
        <item t="default"/>
      </items>
    </pivotField>
    <pivotField showAll="0"/>
    <pivotField numFmtId="166" showAll="0"/>
    <pivotField numFmtId="166" showAll="0"/>
    <pivotField numFmtId="170" showAll="0"/>
    <pivotField numFmtId="166" showAll="0"/>
    <pivotField numFmtId="166" showAll="0"/>
    <pivotField dataField="1" showAll="0"/>
    <pivotField numFmtId="166" showAll="0"/>
    <pivotField dataField="1" showAll="0"/>
    <pivotField numFmtId="166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cenario 2 Cost" fld="8" baseField="1" baseItem="0" numFmtId="166"/>
    <dataField name="Scenario 3 Cost" fld="10" baseField="1" baseItem="0" numFmtId="166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29358-4946-4600-ACCE-C18E88F711B3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7:I24" firstHeaderRow="1" firstDataRow="1" firstDataCol="1"/>
  <pivotFields count="13">
    <pivotField showAll="0"/>
    <pivotField axis="axisRow" showAll="0">
      <items count="7">
        <item x="4"/>
        <item x="5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numFmtId="166" showAll="0"/>
    <pivotField showAll="0"/>
    <pivotField numFmtId="166" showAll="0"/>
    <pivotField dataField="1" numFmtId="170" showAll="0"/>
    <pivotField numFmtId="166" showAll="0"/>
    <pivotField numFmtId="17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Market_Position" fld="9" subtotal="average" baseField="1" baseItem="0" numFmtId="17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00483-5A6F-428D-83CD-BA76730FAE4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E24" firstHeaderRow="0" firstDataRow="1" firstDataCol="1"/>
  <pivotFields count="14">
    <pivotField showAll="0"/>
    <pivotField axis="axisRow" showAll="0">
      <items count="7">
        <item x="4"/>
        <item x="5"/>
        <item x="1"/>
        <item x="0"/>
        <item x="3"/>
        <item x="2"/>
        <item t="default"/>
      </items>
    </pivotField>
    <pivotField showAll="0"/>
    <pivotField numFmtId="166" showAll="0"/>
    <pivotField numFmtId="166" showAll="0"/>
    <pivotField numFmtId="170" showAll="0"/>
    <pivotField numFmtId="166" showAll="0"/>
    <pivotField numFmtId="166" showAll="0"/>
    <pivotField dataField="1" showAll="0"/>
    <pivotField numFmtId="166" showAll="0"/>
    <pivotField dataField="1" showAll="0"/>
    <pivotField numFmtId="166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cenario 2 Cost" fld="8" baseField="1" baseItem="0" numFmtId="166"/>
    <dataField name="Scenario 3 Cost" fld="10" baseField="1" baseItem="0" numFmtId="166"/>
    <dataField name="Scenario 2 Employees" fld="12" baseField="1" baseItem="0"/>
    <dataField name="Scenario 3 Employees" fld="1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F3212-CD1C-493F-A659-021E2DCE3807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V12" firstHeaderRow="1" firstDataRow="3" firstDataCol="1"/>
  <pivotFields count="13">
    <pivotField dataField="1" showAll="0"/>
    <pivotField axis="axisRow" showAll="0">
      <items count="7">
        <item x="4"/>
        <item x="5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numFmtId="166" showAll="0"/>
    <pivotField showAll="0"/>
    <pivotField numFmtId="166" showAll="0"/>
    <pivotField numFmtId="170" showAll="0"/>
    <pivotField numFmtId="166" showAll="0"/>
    <pivotField numFmtId="170" showAll="0"/>
    <pivotField axis="axisCol" showAll="0">
      <items count="5">
        <item x="3"/>
        <item x="1"/>
        <item x="2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Employee_ID" fld="0" subtotal="count" baseField="1" baseItem="0"/>
    <dataField name="% of Department Employees" fld="0" subtotal="count" showDataAs="percentOfRow" baseField="1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3DD4A-F0DF-4DEA-A7E7-F11A9147847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:I8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66" showAll="0"/>
    <pivotField showAll="0"/>
    <pivotField numFmtId="166" showAll="0"/>
    <pivotField numFmtId="170" showAll="0"/>
    <pivotField numFmtId="166" showAll="0"/>
    <pivotField numFmtId="170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F0068-6FB5-4F9D-9B3E-6DCE1553D56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13">
    <pivotField dataField="1" showAll="0"/>
    <pivotField axis="axisRow" showAll="0">
      <items count="7">
        <item x="4"/>
        <item x="5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dataField="1" numFmtId="166" showAll="0"/>
    <pivotField dataField="1" numFmtId="170" showAll="0"/>
    <pivotField dataField="1" numFmtId="166" showAll="0"/>
    <pivotField numFmtId="17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Employee Count" fld="0" subtotal="count" baseField="1" baseItem="0"/>
    <dataField name="Average Current Salary" fld="6" subtotal="average" baseField="1" baseItem="0" numFmtId="166"/>
    <dataField name="Average Market Median" fld="8" subtotal="average" baseField="1" baseItem="0" numFmtId="166"/>
    <dataField name="Average Market Gap" fld="10" subtotal="average" baseField="1" baseItem="0" numFmtId="166"/>
    <dataField name="Average Market_Position" fld="9" subtotal="average" baseField="1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37A8F7-6806-470A-AB4E-8FF83D1D6042}" autoFormatId="16" applyNumberFormats="0" applyBorderFormats="0" applyFontFormats="0" applyPatternFormats="0" applyAlignmentFormats="0" applyWidthHeightFormats="0">
  <queryTableRefresh nextId="14" unboundColumnsRight="5">
    <queryTableFields count="13">
      <queryTableField id="1" name="Employee_ID" tableColumnId="1"/>
      <queryTableField id="2" name="Department" tableColumnId="2"/>
      <queryTableField id="3" name="Job_Title" tableColumnId="3"/>
      <queryTableField id="4" name="Job_Level" tableColumnId="4"/>
      <queryTableField id="5" name="Location" tableColumnId="5"/>
      <queryTableField id="6" name="Years_Service" tableColumnId="6"/>
      <queryTableField id="7" name="Current_Salary" tableColumnId="7"/>
      <queryTableField id="8" name="Performance_Rating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F2D8975-412E-4F1A-BB51-6774C5FCFA75}" autoFormatId="16" applyNumberFormats="0" applyBorderFormats="0" applyFontFormats="0" applyPatternFormats="0" applyAlignmentFormats="0" applyWidthHeightFormats="0">
  <queryTableRefresh nextId="3">
    <queryTableFields count="2">
      <queryTableField id="1" name="Job_Title" tableColumnId="1"/>
      <queryTableField id="2" name="Market_Media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77AF3-541D-4351-8FF6-DF525080F9FF}" name="employee_data" displayName="employee_data" ref="A1:M501" tableType="queryTable" totalsRowShown="0">
  <autoFilter ref="A1:M501" xr:uid="{01177AF3-541D-4351-8FF6-DF525080F9FF}"/>
  <tableColumns count="13">
    <tableColumn id="1" xr3:uid="{39DCEE3F-63E6-47E2-9BF2-26F74AD67D7A}" uniqueName="1" name="Employee_ID" queryTableFieldId="1" dataDxfId="20"/>
    <tableColumn id="2" xr3:uid="{214CE650-0F86-4713-9B03-578C9D828D9B}" uniqueName="2" name="Department" queryTableFieldId="2" dataDxfId="19"/>
    <tableColumn id="3" xr3:uid="{A84AC960-78CB-4D7E-9FDE-B5C6DD2D9078}" uniqueName="3" name="Job_Title" queryTableFieldId="3" dataDxfId="18"/>
    <tableColumn id="4" xr3:uid="{03124E28-0F56-49E9-BFFC-117D58CE2E76}" uniqueName="4" name="Job_Level" queryTableFieldId="4" dataDxfId="17"/>
    <tableColumn id="5" xr3:uid="{E47CF982-44D0-456E-AB91-2EE6C720D219}" uniqueName="5" name="Location" queryTableFieldId="5" dataDxfId="16"/>
    <tableColumn id="6" xr3:uid="{2A07056F-AF96-4749-8582-CEC85144772B}" uniqueName="6" name="Years_Service" queryTableFieldId="6"/>
    <tableColumn id="7" xr3:uid="{20931D7E-578C-42A1-89F2-719EE0156E53}" uniqueName="7" name="Current_Salary" queryTableFieldId="7" dataDxfId="15"/>
    <tableColumn id="8" xr3:uid="{EA5B2E19-0A1E-4B8C-92EB-D3A35F38628A}" uniqueName="8" name="Performance_Rating" queryTableFieldId="8"/>
    <tableColumn id="9" xr3:uid="{BAF064A2-BE04-4B88-B6DE-9333548FC042}" uniqueName="9" name="Market_Median" queryTableFieldId="9" dataDxfId="12">
      <calculatedColumnFormula>_xlfn.XLOOKUP(employee_data[[#This Row],[Job_Title]],market_benchmarks[Job_Title],market_benchmarks[Market_Median],"Not Found")</calculatedColumnFormula>
    </tableColumn>
    <tableColumn id="10" xr3:uid="{7FCA3A1D-E00E-40A9-A302-9318B80FF49C}" uniqueName="10" name="Market_Position" queryTableFieldId="10" dataDxfId="11">
      <calculatedColumnFormula>employee_data[[#This Row],[Current_Salary]]/employee_data[[#This Row],[Market_Median]]</calculatedColumnFormula>
    </tableColumn>
    <tableColumn id="11" xr3:uid="{AA2EFE4D-9542-4D62-9CC7-1B2E980239A0}" uniqueName="11" name="Market_Gap" queryTableFieldId="11" dataDxfId="10">
      <calculatedColumnFormula>employee_data[[#This Row],[Current_Salary]]-employee_data[[#This Row],[Market_Median]]</calculatedColumnFormula>
    </tableColumn>
    <tableColumn id="12" xr3:uid="{E7402787-3AE7-4816-ADAA-384050B56FFB}" uniqueName="12" name="Market_Gap_Percent" queryTableFieldId="12" dataDxfId="8">
      <calculatedColumnFormula>(employee_data[[#This Row],[Current_Salary]]-employee_data[[#This Row],[Market_Median]])/employee_data[[#This Row],[Market_Median]]</calculatedColumnFormula>
    </tableColumn>
    <tableColumn id="13" xr3:uid="{E9FBF01D-2528-483C-B5EB-343DCE15F504}" uniqueName="13" name="Compensation_Status" queryTableFieldId="13" dataDxfId="9">
      <calculatedColumnFormula array="1">_xlfn.IFS(employee_data[[#This Row],[Market_Position]]&lt;85%,"Significantly Below Market",employee_data[[#This Row],[Market_Position]]&lt;95%,"Below Market",employee_data[[#This Row],[Market_Position]]&lt;=105%,"Around Market",TRUE,"Above Market")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D707EC-95B3-4E01-9DCE-FFD0BFB7C6DA}" name="market_benchmarks" displayName="market_benchmarks" ref="A1:B19" tableType="queryTable" totalsRowShown="0">
  <autoFilter ref="A1:B19" xr:uid="{E4D707EC-95B3-4E01-9DCE-FFD0BFB7C6DA}"/>
  <tableColumns count="2">
    <tableColumn id="1" xr3:uid="{5871D5A2-AECA-4ECF-B0A4-2C3125D5B38C}" uniqueName="1" name="Job_Title" queryTableFieldId="1" dataDxfId="14"/>
    <tableColumn id="2" xr3:uid="{DC1DC1E8-CAA2-4931-8386-14A5CA2AF12E}" uniqueName="2" name="Market_Median" queryTableFieldId="2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0AB3-AF71-4C06-AFD4-038E5B81304E}">
  <dimension ref="A1:M501"/>
  <sheetViews>
    <sheetView workbookViewId="0">
      <pane ySplit="1" topLeftCell="A2" activePane="bottomLeft" state="frozen"/>
      <selection activeCell="I1" sqref="I1"/>
      <selection pane="bottomLeft" activeCell="E6" sqref="E6"/>
    </sheetView>
  </sheetViews>
  <sheetFormatPr defaultRowHeight="14.4" x14ac:dyDescent="0.3"/>
  <cols>
    <col min="1" max="1" width="14" bestFit="1" customWidth="1"/>
    <col min="2" max="2" width="19.77734375" bestFit="1" customWidth="1"/>
    <col min="3" max="3" width="22.6640625" bestFit="1" customWidth="1"/>
    <col min="4" max="4" width="11.109375" bestFit="1" customWidth="1"/>
    <col min="5" max="5" width="10.33203125" bestFit="1" customWidth="1"/>
    <col min="6" max="6" width="14.77734375" bestFit="1" customWidth="1"/>
    <col min="7" max="7" width="15.5546875" style="2" bestFit="1" customWidth="1"/>
    <col min="8" max="8" width="20.109375" bestFit="1" customWidth="1"/>
    <col min="9" max="9" width="15" style="2" customWidth="1"/>
    <col min="10" max="10" width="15.21875" style="3" customWidth="1"/>
    <col min="11" max="11" width="13.33203125" customWidth="1"/>
    <col min="12" max="12" width="21.21875" style="3" customWidth="1"/>
    <col min="13" max="13" width="25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536</v>
      </c>
      <c r="J1" s="3" t="s">
        <v>537</v>
      </c>
      <c r="K1" t="s">
        <v>538</v>
      </c>
      <c r="L1" s="3" t="s">
        <v>539</v>
      </c>
      <c r="M1" t="s">
        <v>540</v>
      </c>
    </row>
    <row r="2" spans="1:13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14</v>
      </c>
      <c r="G2" s="2">
        <v>48700</v>
      </c>
      <c r="H2">
        <v>4</v>
      </c>
      <c r="I2" s="2">
        <f>_xlfn.XLOOKUP(employee_data[[#This Row],[Job_Title]],market_benchmarks[Job_Title],market_benchmarks[Market_Median],"Not Found")</f>
        <v>58000</v>
      </c>
      <c r="J2" s="3">
        <f>employee_data[[#This Row],[Current_Salary]]/employee_data[[#This Row],[Market_Median]]</f>
        <v>0.83965517241379306</v>
      </c>
      <c r="K2" s="2">
        <f>employee_data[[#This Row],[Current_Salary]]-employee_data[[#This Row],[Market_Median]]</f>
        <v>-9300</v>
      </c>
      <c r="L2" s="3">
        <f>(employee_data[[#This Row],[Current_Salary]]-employee_data[[#This Row],[Market_Median]])/employee_data[[#This Row],[Market_Median]]</f>
        <v>-0.16034482758620688</v>
      </c>
      <c r="M2" t="str" cm="1">
        <f t="array" ref="M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" spans="1:13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12</v>
      </c>
      <c r="F3">
        <v>10</v>
      </c>
      <c r="G3" s="2">
        <v>80500</v>
      </c>
      <c r="H3">
        <v>3</v>
      </c>
      <c r="I3" s="2">
        <f>_xlfn.XLOOKUP(employee_data[[#This Row],[Job_Title]],market_benchmarks[Job_Title],market_benchmarks[Market_Median],"Not Found")</f>
        <v>82000</v>
      </c>
      <c r="J3" s="3">
        <f>employee_data[[#This Row],[Current_Salary]]/employee_data[[#This Row],[Market_Median]]</f>
        <v>0.98170731707317072</v>
      </c>
      <c r="K3" s="2">
        <f>employee_data[[#This Row],[Current_Salary]]-employee_data[[#This Row],[Market_Median]]</f>
        <v>-1500</v>
      </c>
      <c r="L3" s="3">
        <f>(employee_data[[#This Row],[Current_Salary]]-employee_data[[#This Row],[Market_Median]])/employee_data[[#This Row],[Market_Median]]</f>
        <v>-1.8292682926829267E-2</v>
      </c>
      <c r="M3" t="str" cm="1">
        <f t="array" ref="M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" spans="1:13" x14ac:dyDescent="0.3">
      <c r="A4" s="1" t="s">
        <v>17</v>
      </c>
      <c r="B4" s="1" t="s">
        <v>18</v>
      </c>
      <c r="C4" s="1" t="s">
        <v>19</v>
      </c>
      <c r="D4" s="1" t="s">
        <v>16</v>
      </c>
      <c r="E4" s="1" t="s">
        <v>12</v>
      </c>
      <c r="F4">
        <v>20</v>
      </c>
      <c r="G4" s="2">
        <v>81300</v>
      </c>
      <c r="H4">
        <v>5</v>
      </c>
      <c r="I4" s="2">
        <f>_xlfn.XLOOKUP(employee_data[[#This Row],[Job_Title]],market_benchmarks[Job_Title],market_benchmarks[Market_Median],"Not Found")</f>
        <v>90000</v>
      </c>
      <c r="J4" s="3">
        <f>employee_data[[#This Row],[Current_Salary]]/employee_data[[#This Row],[Market_Median]]</f>
        <v>0.90333333333333332</v>
      </c>
      <c r="K4" s="2">
        <f>employee_data[[#This Row],[Current_Salary]]-employee_data[[#This Row],[Market_Median]]</f>
        <v>-8700</v>
      </c>
      <c r="L4" s="3">
        <f>(employee_data[[#This Row],[Current_Salary]]-employee_data[[#This Row],[Market_Median]])/employee_data[[#This Row],[Market_Median]]</f>
        <v>-9.6666666666666665E-2</v>
      </c>
      <c r="M4" t="str" cm="1">
        <f t="array" ref="M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5" spans="1:13" x14ac:dyDescent="0.3">
      <c r="A5" s="1" t="s">
        <v>20</v>
      </c>
      <c r="B5" s="1" t="s">
        <v>9</v>
      </c>
      <c r="C5" s="1" t="s">
        <v>10</v>
      </c>
      <c r="D5" s="1" t="s">
        <v>11</v>
      </c>
      <c r="E5" s="1" t="s">
        <v>12</v>
      </c>
      <c r="F5">
        <v>0</v>
      </c>
      <c r="G5" s="2">
        <v>58200</v>
      </c>
      <c r="H5">
        <v>3</v>
      </c>
      <c r="I5" s="2">
        <f>_xlfn.XLOOKUP(employee_data[[#This Row],[Job_Title]],market_benchmarks[Job_Title],market_benchmarks[Market_Median],"Not Found")</f>
        <v>58000</v>
      </c>
      <c r="J5" s="3">
        <f>employee_data[[#This Row],[Current_Salary]]/employee_data[[#This Row],[Market_Median]]</f>
        <v>1.0034482758620689</v>
      </c>
      <c r="K5" s="2">
        <f>employee_data[[#This Row],[Current_Salary]]-employee_data[[#This Row],[Market_Median]]</f>
        <v>200</v>
      </c>
      <c r="L5" s="3">
        <f>(employee_data[[#This Row],[Current_Salary]]-employee_data[[#This Row],[Market_Median]])/employee_data[[#This Row],[Market_Median]]</f>
        <v>3.4482758620689655E-3</v>
      </c>
      <c r="M5" t="str" cm="1">
        <f t="array" ref="M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6" spans="1:13" x14ac:dyDescent="0.3">
      <c r="A6" s="1" t="s">
        <v>21</v>
      </c>
      <c r="B6" s="1" t="s">
        <v>22</v>
      </c>
      <c r="C6" s="1" t="s">
        <v>23</v>
      </c>
      <c r="D6" s="1" t="s">
        <v>11</v>
      </c>
      <c r="E6" s="1" t="s">
        <v>12</v>
      </c>
      <c r="F6">
        <v>11</v>
      </c>
      <c r="G6" s="2">
        <v>35300</v>
      </c>
      <c r="H6">
        <v>1</v>
      </c>
      <c r="I6" s="2">
        <f>_xlfn.XLOOKUP(employee_data[[#This Row],[Job_Title]],market_benchmarks[Job_Title],market_benchmarks[Market_Median],"Not Found")</f>
        <v>50000</v>
      </c>
      <c r="J6" s="3">
        <f>employee_data[[#This Row],[Current_Salary]]/employee_data[[#This Row],[Market_Median]]</f>
        <v>0.70599999999999996</v>
      </c>
      <c r="K6" s="2">
        <f>employee_data[[#This Row],[Current_Salary]]-employee_data[[#This Row],[Market_Median]]</f>
        <v>-14700</v>
      </c>
      <c r="L6" s="3">
        <f>(employee_data[[#This Row],[Current_Salary]]-employee_data[[#This Row],[Market_Median]])/employee_data[[#This Row],[Market_Median]]</f>
        <v>-0.29399999999999998</v>
      </c>
      <c r="M6" t="str" cm="1">
        <f t="array" ref="M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7" spans="1:13" x14ac:dyDescent="0.3">
      <c r="A7" s="1" t="s">
        <v>24</v>
      </c>
      <c r="B7" s="1" t="s">
        <v>9</v>
      </c>
      <c r="C7" s="1" t="s">
        <v>25</v>
      </c>
      <c r="D7" s="1" t="s">
        <v>16</v>
      </c>
      <c r="E7" s="1" t="s">
        <v>12</v>
      </c>
      <c r="F7">
        <v>14</v>
      </c>
      <c r="G7" s="2">
        <v>99000</v>
      </c>
      <c r="H7">
        <v>3</v>
      </c>
      <c r="I7" s="2">
        <f>_xlfn.XLOOKUP(employee_data[[#This Row],[Job_Title]],market_benchmarks[Job_Title],market_benchmarks[Market_Median],"Not Found")</f>
        <v>98000</v>
      </c>
      <c r="J7" s="3">
        <f>employee_data[[#This Row],[Current_Salary]]/employee_data[[#This Row],[Market_Median]]</f>
        <v>1.010204081632653</v>
      </c>
      <c r="K7" s="2">
        <f>employee_data[[#This Row],[Current_Salary]]-employee_data[[#This Row],[Market_Median]]</f>
        <v>1000</v>
      </c>
      <c r="L7" s="3">
        <f>(employee_data[[#This Row],[Current_Salary]]-employee_data[[#This Row],[Market_Median]])/employee_data[[#This Row],[Market_Median]]</f>
        <v>1.020408163265306E-2</v>
      </c>
      <c r="M7" t="str" cm="1">
        <f t="array" ref="M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8" spans="1:13" x14ac:dyDescent="0.3">
      <c r="A8" s="1" t="s">
        <v>26</v>
      </c>
      <c r="B8" s="1" t="s">
        <v>9</v>
      </c>
      <c r="C8" s="1" t="s">
        <v>25</v>
      </c>
      <c r="D8" s="1" t="s">
        <v>16</v>
      </c>
      <c r="E8" s="1" t="s">
        <v>12</v>
      </c>
      <c r="F8">
        <v>19</v>
      </c>
      <c r="G8" s="2">
        <v>94300</v>
      </c>
      <c r="H8">
        <v>3</v>
      </c>
      <c r="I8" s="2">
        <f>_xlfn.XLOOKUP(employee_data[[#This Row],[Job_Title]],market_benchmarks[Job_Title],market_benchmarks[Market_Median],"Not Found")</f>
        <v>98000</v>
      </c>
      <c r="J8" s="3">
        <f>employee_data[[#This Row],[Current_Salary]]/employee_data[[#This Row],[Market_Median]]</f>
        <v>0.96224489795918366</v>
      </c>
      <c r="K8" s="2">
        <f>employee_data[[#This Row],[Current_Salary]]-employee_data[[#This Row],[Market_Median]]</f>
        <v>-3700</v>
      </c>
      <c r="L8" s="3">
        <f>(employee_data[[#This Row],[Current_Salary]]-employee_data[[#This Row],[Market_Median]])/employee_data[[#This Row],[Market_Median]]</f>
        <v>-3.7755102040816328E-2</v>
      </c>
      <c r="M8" t="str" cm="1">
        <f t="array" ref="M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" spans="1:13" x14ac:dyDescent="0.3">
      <c r="A9" s="1" t="s">
        <v>27</v>
      </c>
      <c r="B9" s="1" t="s">
        <v>18</v>
      </c>
      <c r="C9" s="1" t="s">
        <v>28</v>
      </c>
      <c r="D9" s="1" t="s">
        <v>11</v>
      </c>
      <c r="E9" s="1" t="s">
        <v>12</v>
      </c>
      <c r="F9">
        <v>6</v>
      </c>
      <c r="G9" s="2">
        <v>46700</v>
      </c>
      <c r="H9">
        <v>1</v>
      </c>
      <c r="I9" s="2">
        <f>_xlfn.XLOOKUP(employee_data[[#This Row],[Job_Title]],market_benchmarks[Job_Title],market_benchmarks[Market_Median],"Not Found")</f>
        <v>52000</v>
      </c>
      <c r="J9" s="3">
        <f>employee_data[[#This Row],[Current_Salary]]/employee_data[[#This Row],[Market_Median]]</f>
        <v>0.89807692307692311</v>
      </c>
      <c r="K9" s="2">
        <f>employee_data[[#This Row],[Current_Salary]]-employee_data[[#This Row],[Market_Median]]</f>
        <v>-5300</v>
      </c>
      <c r="L9" s="3">
        <f>(employee_data[[#This Row],[Current_Salary]]-employee_data[[#This Row],[Market_Median]])/employee_data[[#This Row],[Market_Median]]</f>
        <v>-0.10192307692307692</v>
      </c>
      <c r="M9" t="str" cm="1">
        <f t="array" ref="M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0" spans="1:13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12</v>
      </c>
      <c r="F10">
        <v>17</v>
      </c>
      <c r="G10" s="2">
        <v>59600</v>
      </c>
      <c r="H10">
        <v>3</v>
      </c>
      <c r="I10" s="2">
        <f>_xlfn.XLOOKUP(employee_data[[#This Row],[Job_Title]],market_benchmarks[Job_Title],market_benchmarks[Market_Median],"Not Found")</f>
        <v>58000</v>
      </c>
      <c r="J10" s="3">
        <f>employee_data[[#This Row],[Current_Salary]]/employee_data[[#This Row],[Market_Median]]</f>
        <v>1.0275862068965518</v>
      </c>
      <c r="K10" s="2">
        <f>employee_data[[#This Row],[Current_Salary]]-employee_data[[#This Row],[Market_Median]]</f>
        <v>1600</v>
      </c>
      <c r="L10" s="3">
        <f>(employee_data[[#This Row],[Current_Salary]]-employee_data[[#This Row],[Market_Median]])/employee_data[[#This Row],[Market_Median]]</f>
        <v>2.7586206896551724E-2</v>
      </c>
      <c r="M10" t="str" cm="1">
        <f t="array" ref="M1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1" spans="1:13" x14ac:dyDescent="0.3">
      <c r="A11" s="1" t="s">
        <v>33</v>
      </c>
      <c r="B11" s="1" t="s">
        <v>9</v>
      </c>
      <c r="C11" s="1" t="s">
        <v>10</v>
      </c>
      <c r="D11" s="1" t="s">
        <v>11</v>
      </c>
      <c r="E11" s="1" t="s">
        <v>12</v>
      </c>
      <c r="F11">
        <v>7</v>
      </c>
      <c r="G11" s="2">
        <v>48700</v>
      </c>
      <c r="H11">
        <v>1</v>
      </c>
      <c r="I11" s="2">
        <f>_xlfn.XLOOKUP(employee_data[[#This Row],[Job_Title]],market_benchmarks[Job_Title],market_benchmarks[Market_Median],"Not Found")</f>
        <v>58000</v>
      </c>
      <c r="J11" s="3">
        <f>employee_data[[#This Row],[Current_Salary]]/employee_data[[#This Row],[Market_Median]]</f>
        <v>0.83965517241379306</v>
      </c>
      <c r="K11" s="2">
        <f>employee_data[[#This Row],[Current_Salary]]-employee_data[[#This Row],[Market_Median]]</f>
        <v>-9300</v>
      </c>
      <c r="L11" s="3">
        <f>(employee_data[[#This Row],[Current_Salary]]-employee_data[[#This Row],[Market_Median]])/employee_data[[#This Row],[Market_Median]]</f>
        <v>-0.16034482758620688</v>
      </c>
      <c r="M11" t="str" cm="1">
        <f t="array" ref="M1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2" spans="1:13" x14ac:dyDescent="0.3">
      <c r="A12" s="1" t="s">
        <v>34</v>
      </c>
      <c r="B12" s="1" t="s">
        <v>22</v>
      </c>
      <c r="C12" s="1" t="s">
        <v>23</v>
      </c>
      <c r="D12" s="1" t="s">
        <v>11</v>
      </c>
      <c r="E12" s="1" t="s">
        <v>12</v>
      </c>
      <c r="F12">
        <v>3</v>
      </c>
      <c r="G12" s="2">
        <v>45300</v>
      </c>
      <c r="H12">
        <v>3</v>
      </c>
      <c r="I12" s="2">
        <f>_xlfn.XLOOKUP(employee_data[[#This Row],[Job_Title]],market_benchmarks[Job_Title],market_benchmarks[Market_Median],"Not Found")</f>
        <v>50000</v>
      </c>
      <c r="J12" s="3">
        <f>employee_data[[#This Row],[Current_Salary]]/employee_data[[#This Row],[Market_Median]]</f>
        <v>0.90600000000000003</v>
      </c>
      <c r="K12" s="2">
        <f>employee_data[[#This Row],[Current_Salary]]-employee_data[[#This Row],[Market_Median]]</f>
        <v>-4700</v>
      </c>
      <c r="L12" s="3">
        <f>(employee_data[[#This Row],[Current_Salary]]-employee_data[[#This Row],[Market_Median]])/employee_data[[#This Row],[Market_Median]]</f>
        <v>-9.4E-2</v>
      </c>
      <c r="M12" t="str" cm="1">
        <f t="array" ref="M1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3" spans="1:13" x14ac:dyDescent="0.3">
      <c r="A13" s="1" t="s">
        <v>35</v>
      </c>
      <c r="B13" s="1" t="s">
        <v>22</v>
      </c>
      <c r="C13" s="1" t="s">
        <v>36</v>
      </c>
      <c r="D13" s="1" t="s">
        <v>32</v>
      </c>
      <c r="E13" s="1" t="s">
        <v>12</v>
      </c>
      <c r="F13">
        <v>3</v>
      </c>
      <c r="G13" s="2">
        <v>75000</v>
      </c>
      <c r="H13">
        <v>3</v>
      </c>
      <c r="I13" s="2">
        <f>_xlfn.XLOOKUP(employee_data[[#This Row],[Job_Title]],market_benchmarks[Job_Title],market_benchmarks[Market_Median],"Not Found")</f>
        <v>68000</v>
      </c>
      <c r="J13" s="3">
        <f>employee_data[[#This Row],[Current_Salary]]/employee_data[[#This Row],[Market_Median]]</f>
        <v>1.1029411764705883</v>
      </c>
      <c r="K13" s="2">
        <f>employee_data[[#This Row],[Current_Salary]]-employee_data[[#This Row],[Market_Median]]</f>
        <v>7000</v>
      </c>
      <c r="L13" s="3">
        <f>(employee_data[[#This Row],[Current_Salary]]-employee_data[[#This Row],[Market_Median]])/employee_data[[#This Row],[Market_Median]]</f>
        <v>0.10294117647058823</v>
      </c>
      <c r="M13" t="str" cm="1">
        <f t="array" ref="M1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4" spans="1:13" x14ac:dyDescent="0.3">
      <c r="A14" s="1" t="s">
        <v>37</v>
      </c>
      <c r="B14" s="1" t="s">
        <v>38</v>
      </c>
      <c r="C14" s="1" t="s">
        <v>39</v>
      </c>
      <c r="D14" s="1" t="s">
        <v>32</v>
      </c>
      <c r="E14" s="1" t="s">
        <v>12</v>
      </c>
      <c r="F14">
        <v>11</v>
      </c>
      <c r="G14" s="2">
        <v>68000</v>
      </c>
      <c r="H14">
        <v>5</v>
      </c>
      <c r="I14" s="2">
        <f>_xlfn.XLOOKUP(employee_data[[#This Row],[Job_Title]],market_benchmarks[Job_Title],market_benchmarks[Market_Median],"Not Found")</f>
        <v>70000</v>
      </c>
      <c r="J14" s="3">
        <f>employee_data[[#This Row],[Current_Salary]]/employee_data[[#This Row],[Market_Median]]</f>
        <v>0.97142857142857142</v>
      </c>
      <c r="K14" s="2">
        <f>employee_data[[#This Row],[Current_Salary]]-employee_data[[#This Row],[Market_Median]]</f>
        <v>-2000</v>
      </c>
      <c r="L14" s="3">
        <f>(employee_data[[#This Row],[Current_Salary]]-employee_data[[#This Row],[Market_Median]])/employee_data[[#This Row],[Market_Median]]</f>
        <v>-2.8571428571428571E-2</v>
      </c>
      <c r="M14" t="str" cm="1">
        <f t="array" ref="M1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5" spans="1:13" x14ac:dyDescent="0.3">
      <c r="A15" s="1" t="s">
        <v>40</v>
      </c>
      <c r="B15" s="1" t="s">
        <v>22</v>
      </c>
      <c r="C15" s="1" t="s">
        <v>41</v>
      </c>
      <c r="D15" s="1" t="s">
        <v>16</v>
      </c>
      <c r="E15" s="1" t="s">
        <v>12</v>
      </c>
      <c r="F15">
        <v>7</v>
      </c>
      <c r="G15" s="2">
        <v>88200</v>
      </c>
      <c r="H15">
        <v>4</v>
      </c>
      <c r="I15" s="2">
        <f>_xlfn.XLOOKUP(employee_data[[#This Row],[Job_Title]],market_benchmarks[Job_Title],market_benchmarks[Market_Median],"Not Found")</f>
        <v>85000</v>
      </c>
      <c r="J15" s="3">
        <f>employee_data[[#This Row],[Current_Salary]]/employee_data[[#This Row],[Market_Median]]</f>
        <v>1.0376470588235294</v>
      </c>
      <c r="K15" s="2">
        <f>employee_data[[#This Row],[Current_Salary]]-employee_data[[#This Row],[Market_Median]]</f>
        <v>3200</v>
      </c>
      <c r="L15" s="3">
        <f>(employee_data[[#This Row],[Current_Salary]]-employee_data[[#This Row],[Market_Median]])/employee_data[[#This Row],[Market_Median]]</f>
        <v>3.7647058823529408E-2</v>
      </c>
      <c r="M15" t="str" cm="1">
        <f t="array" ref="M1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6" spans="1:13" x14ac:dyDescent="0.3">
      <c r="A16" s="1" t="s">
        <v>42</v>
      </c>
      <c r="B16" s="1" t="s">
        <v>18</v>
      </c>
      <c r="C16" s="1" t="s">
        <v>43</v>
      </c>
      <c r="D16" s="1" t="s">
        <v>32</v>
      </c>
      <c r="E16" s="1" t="s">
        <v>12</v>
      </c>
      <c r="F16">
        <v>14</v>
      </c>
      <c r="G16" s="2">
        <v>58700</v>
      </c>
      <c r="H16">
        <v>4</v>
      </c>
      <c r="I16" s="2">
        <f>_xlfn.XLOOKUP(employee_data[[#This Row],[Job_Title]],market_benchmarks[Job_Title],market_benchmarks[Market_Median],"Not Found")</f>
        <v>72000</v>
      </c>
      <c r="J16" s="3">
        <f>employee_data[[#This Row],[Current_Salary]]/employee_data[[#This Row],[Market_Median]]</f>
        <v>0.81527777777777777</v>
      </c>
      <c r="K16" s="2">
        <f>employee_data[[#This Row],[Current_Salary]]-employee_data[[#This Row],[Market_Median]]</f>
        <v>-13300</v>
      </c>
      <c r="L16" s="3">
        <f>(employee_data[[#This Row],[Current_Salary]]-employee_data[[#This Row],[Market_Median]])/employee_data[[#This Row],[Market_Median]]</f>
        <v>-0.18472222222222223</v>
      </c>
      <c r="M16" t="str" cm="1">
        <f t="array" ref="M1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7" spans="1:13" x14ac:dyDescent="0.3">
      <c r="A17" s="1" t="s">
        <v>44</v>
      </c>
      <c r="B17" s="1" t="s">
        <v>9</v>
      </c>
      <c r="C17" s="1" t="s">
        <v>10</v>
      </c>
      <c r="D17" s="1" t="s">
        <v>11</v>
      </c>
      <c r="E17" s="1" t="s">
        <v>12</v>
      </c>
      <c r="F17">
        <v>8</v>
      </c>
      <c r="G17" s="2">
        <v>50000</v>
      </c>
      <c r="H17">
        <v>3</v>
      </c>
      <c r="I17" s="2">
        <f>_xlfn.XLOOKUP(employee_data[[#This Row],[Job_Title]],market_benchmarks[Job_Title],market_benchmarks[Market_Median],"Not Found")</f>
        <v>58000</v>
      </c>
      <c r="J17" s="3">
        <f>employee_data[[#This Row],[Current_Salary]]/employee_data[[#This Row],[Market_Median]]</f>
        <v>0.86206896551724133</v>
      </c>
      <c r="K17" s="2">
        <f>employee_data[[#This Row],[Current_Salary]]-employee_data[[#This Row],[Market_Median]]</f>
        <v>-8000</v>
      </c>
      <c r="L17" s="3">
        <f>(employee_data[[#This Row],[Current_Salary]]-employee_data[[#This Row],[Market_Median]])/employee_data[[#This Row],[Market_Median]]</f>
        <v>-0.13793103448275862</v>
      </c>
      <c r="M17" t="str" cm="1">
        <f t="array" ref="M1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8" spans="1:13" x14ac:dyDescent="0.3">
      <c r="A18" s="1" t="s">
        <v>45</v>
      </c>
      <c r="B18" s="1" t="s">
        <v>18</v>
      </c>
      <c r="C18" s="1" t="s">
        <v>28</v>
      </c>
      <c r="D18" s="1" t="s">
        <v>11</v>
      </c>
      <c r="E18" s="1" t="s">
        <v>12</v>
      </c>
      <c r="F18">
        <v>6</v>
      </c>
      <c r="G18" s="2">
        <v>41300</v>
      </c>
      <c r="H18">
        <v>3</v>
      </c>
      <c r="I18" s="2">
        <f>_xlfn.XLOOKUP(employee_data[[#This Row],[Job_Title]],market_benchmarks[Job_Title],market_benchmarks[Market_Median],"Not Found")</f>
        <v>52000</v>
      </c>
      <c r="J18" s="3">
        <f>employee_data[[#This Row],[Current_Salary]]/employee_data[[#This Row],[Market_Median]]</f>
        <v>0.79423076923076918</v>
      </c>
      <c r="K18" s="2">
        <f>employee_data[[#This Row],[Current_Salary]]-employee_data[[#This Row],[Market_Median]]</f>
        <v>-10700</v>
      </c>
      <c r="L18" s="3">
        <f>(employee_data[[#This Row],[Current_Salary]]-employee_data[[#This Row],[Market_Median]])/employee_data[[#This Row],[Market_Median]]</f>
        <v>-0.20576923076923076</v>
      </c>
      <c r="M18" t="str" cm="1">
        <f t="array" ref="M1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9" spans="1:13" x14ac:dyDescent="0.3">
      <c r="A19" s="1" t="s">
        <v>46</v>
      </c>
      <c r="B19" s="1" t="s">
        <v>14</v>
      </c>
      <c r="C19" s="1" t="s">
        <v>15</v>
      </c>
      <c r="D19" s="1" t="s">
        <v>16</v>
      </c>
      <c r="E19" s="1" t="s">
        <v>12</v>
      </c>
      <c r="F19">
        <v>16</v>
      </c>
      <c r="G19" s="2">
        <v>71400</v>
      </c>
      <c r="H19">
        <v>4</v>
      </c>
      <c r="I19" s="2">
        <f>_xlfn.XLOOKUP(employee_data[[#This Row],[Job_Title]],market_benchmarks[Job_Title],market_benchmarks[Market_Median],"Not Found")</f>
        <v>82000</v>
      </c>
      <c r="J19" s="3">
        <f>employee_data[[#This Row],[Current_Salary]]/employee_data[[#This Row],[Market_Median]]</f>
        <v>0.87073170731707317</v>
      </c>
      <c r="K19" s="2">
        <f>employee_data[[#This Row],[Current_Salary]]-employee_data[[#This Row],[Market_Median]]</f>
        <v>-10600</v>
      </c>
      <c r="L19" s="3">
        <f>(employee_data[[#This Row],[Current_Salary]]-employee_data[[#This Row],[Market_Median]])/employee_data[[#This Row],[Market_Median]]</f>
        <v>-0.12926829268292683</v>
      </c>
      <c r="M19" t="str" cm="1">
        <f t="array" ref="M1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0" spans="1:13" x14ac:dyDescent="0.3">
      <c r="A20" s="1" t="s">
        <v>47</v>
      </c>
      <c r="B20" s="1" t="s">
        <v>14</v>
      </c>
      <c r="C20" s="1" t="s">
        <v>48</v>
      </c>
      <c r="D20" s="1" t="s">
        <v>11</v>
      </c>
      <c r="E20" s="1" t="s">
        <v>12</v>
      </c>
      <c r="F20">
        <v>4</v>
      </c>
      <c r="G20" s="2">
        <v>50800</v>
      </c>
      <c r="H20">
        <v>5</v>
      </c>
      <c r="I20" s="2">
        <f>_xlfn.XLOOKUP(employee_data[[#This Row],[Job_Title]],market_benchmarks[Job_Title],market_benchmarks[Market_Median],"Not Found")</f>
        <v>50000</v>
      </c>
      <c r="J20" s="3">
        <f>employee_data[[#This Row],[Current_Salary]]/employee_data[[#This Row],[Market_Median]]</f>
        <v>1.016</v>
      </c>
      <c r="K20" s="2">
        <f>employee_data[[#This Row],[Current_Salary]]-employee_data[[#This Row],[Market_Median]]</f>
        <v>800</v>
      </c>
      <c r="L20" s="3">
        <f>(employee_data[[#This Row],[Current_Salary]]-employee_data[[#This Row],[Market_Median]])/employee_data[[#This Row],[Market_Median]]</f>
        <v>1.6E-2</v>
      </c>
      <c r="M20" t="str" cm="1">
        <f t="array" ref="M2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" spans="1:13" x14ac:dyDescent="0.3">
      <c r="A21" s="1" t="s">
        <v>49</v>
      </c>
      <c r="B21" s="1" t="s">
        <v>30</v>
      </c>
      <c r="C21" s="1" t="s">
        <v>31</v>
      </c>
      <c r="D21" s="1" t="s">
        <v>32</v>
      </c>
      <c r="E21" s="1" t="s">
        <v>12</v>
      </c>
      <c r="F21">
        <v>0</v>
      </c>
      <c r="G21" s="2">
        <v>56500</v>
      </c>
      <c r="H21">
        <v>2</v>
      </c>
      <c r="I21" s="2">
        <f>_xlfn.XLOOKUP(employee_data[[#This Row],[Job_Title]],market_benchmarks[Job_Title],market_benchmarks[Market_Median],"Not Found")</f>
        <v>58000</v>
      </c>
      <c r="J21" s="3">
        <f>employee_data[[#This Row],[Current_Salary]]/employee_data[[#This Row],[Market_Median]]</f>
        <v>0.97413793103448276</v>
      </c>
      <c r="K21" s="2">
        <f>employee_data[[#This Row],[Current_Salary]]-employee_data[[#This Row],[Market_Median]]</f>
        <v>-1500</v>
      </c>
      <c r="L21" s="3">
        <f>(employee_data[[#This Row],[Current_Salary]]-employee_data[[#This Row],[Market_Median]])/employee_data[[#This Row],[Market_Median]]</f>
        <v>-2.5862068965517241E-2</v>
      </c>
      <c r="M21" t="str" cm="1">
        <f t="array" ref="M2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2" spans="1:13" x14ac:dyDescent="0.3">
      <c r="A22" s="1" t="s">
        <v>50</v>
      </c>
      <c r="B22" s="1" t="s">
        <v>22</v>
      </c>
      <c r="C22" s="1" t="s">
        <v>23</v>
      </c>
      <c r="D22" s="1" t="s">
        <v>11</v>
      </c>
      <c r="E22" s="1" t="s">
        <v>12</v>
      </c>
      <c r="F22">
        <v>2</v>
      </c>
      <c r="G22" s="2">
        <v>49800</v>
      </c>
      <c r="H22">
        <v>3</v>
      </c>
      <c r="I22" s="2">
        <f>_xlfn.XLOOKUP(employee_data[[#This Row],[Job_Title]],market_benchmarks[Job_Title],market_benchmarks[Market_Median],"Not Found")</f>
        <v>50000</v>
      </c>
      <c r="J22" s="3">
        <f>employee_data[[#This Row],[Current_Salary]]/employee_data[[#This Row],[Market_Median]]</f>
        <v>0.996</v>
      </c>
      <c r="K22" s="2">
        <f>employee_data[[#This Row],[Current_Salary]]-employee_data[[#This Row],[Market_Median]]</f>
        <v>-200</v>
      </c>
      <c r="L22" s="3">
        <f>(employee_data[[#This Row],[Current_Salary]]-employee_data[[#This Row],[Market_Median]])/employee_data[[#This Row],[Market_Median]]</f>
        <v>-4.0000000000000001E-3</v>
      </c>
      <c r="M22" t="str" cm="1">
        <f t="array" ref="M2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" spans="1:13" x14ac:dyDescent="0.3">
      <c r="A23" s="1" t="s">
        <v>51</v>
      </c>
      <c r="B23" s="1" t="s">
        <v>14</v>
      </c>
      <c r="C23" s="1" t="s">
        <v>48</v>
      </c>
      <c r="D23" s="1" t="s">
        <v>11</v>
      </c>
      <c r="E23" s="1" t="s">
        <v>12</v>
      </c>
      <c r="F23">
        <v>14</v>
      </c>
      <c r="G23" s="2">
        <v>39100</v>
      </c>
      <c r="H23">
        <v>4</v>
      </c>
      <c r="I23" s="2">
        <f>_xlfn.XLOOKUP(employee_data[[#This Row],[Job_Title]],market_benchmarks[Job_Title],market_benchmarks[Market_Median],"Not Found")</f>
        <v>50000</v>
      </c>
      <c r="J23" s="3">
        <f>employee_data[[#This Row],[Current_Salary]]/employee_data[[#This Row],[Market_Median]]</f>
        <v>0.78200000000000003</v>
      </c>
      <c r="K23" s="2">
        <f>employee_data[[#This Row],[Current_Salary]]-employee_data[[#This Row],[Market_Median]]</f>
        <v>-10900</v>
      </c>
      <c r="L23" s="3">
        <f>(employee_data[[#This Row],[Current_Salary]]-employee_data[[#This Row],[Market_Median]])/employee_data[[#This Row],[Market_Median]]</f>
        <v>-0.218</v>
      </c>
      <c r="M23" t="str" cm="1">
        <f t="array" ref="M2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4" spans="1:13" x14ac:dyDescent="0.3">
      <c r="A24" s="1" t="s">
        <v>52</v>
      </c>
      <c r="B24" s="1" t="s">
        <v>30</v>
      </c>
      <c r="C24" s="1" t="s">
        <v>53</v>
      </c>
      <c r="D24" s="1" t="s">
        <v>11</v>
      </c>
      <c r="E24" s="1" t="s">
        <v>12</v>
      </c>
      <c r="F24">
        <v>13</v>
      </c>
      <c r="G24" s="2">
        <v>33000</v>
      </c>
      <c r="H24">
        <v>3</v>
      </c>
      <c r="I24" s="2">
        <f>_xlfn.XLOOKUP(employee_data[[#This Row],[Job_Title]],market_benchmarks[Job_Title],market_benchmarks[Market_Median],"Not Found")</f>
        <v>48000</v>
      </c>
      <c r="J24" s="3">
        <f>employee_data[[#This Row],[Current_Salary]]/employee_data[[#This Row],[Market_Median]]</f>
        <v>0.6875</v>
      </c>
      <c r="K24" s="2">
        <f>employee_data[[#This Row],[Current_Salary]]-employee_data[[#This Row],[Market_Median]]</f>
        <v>-15000</v>
      </c>
      <c r="L24" s="3">
        <f>(employee_data[[#This Row],[Current_Salary]]-employee_data[[#This Row],[Market_Median]])/employee_data[[#This Row],[Market_Median]]</f>
        <v>-0.3125</v>
      </c>
      <c r="M24" t="str" cm="1">
        <f t="array" ref="M2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5" spans="1:13" x14ac:dyDescent="0.3">
      <c r="A25" s="1" t="s">
        <v>54</v>
      </c>
      <c r="B25" s="1" t="s">
        <v>38</v>
      </c>
      <c r="C25" s="1" t="s">
        <v>55</v>
      </c>
      <c r="D25" s="1" t="s">
        <v>11</v>
      </c>
      <c r="E25" s="1" t="s">
        <v>12</v>
      </c>
      <c r="F25">
        <v>18</v>
      </c>
      <c r="G25" s="2">
        <v>53700</v>
      </c>
      <c r="H25">
        <v>1</v>
      </c>
      <c r="I25" s="2">
        <f>_xlfn.XLOOKUP(employee_data[[#This Row],[Job_Title]],market_benchmarks[Job_Title],market_benchmarks[Market_Median],"Not Found")</f>
        <v>52000</v>
      </c>
      <c r="J25" s="3">
        <f>employee_data[[#This Row],[Current_Salary]]/employee_data[[#This Row],[Market_Median]]</f>
        <v>1.0326923076923078</v>
      </c>
      <c r="K25" s="2">
        <f>employee_data[[#This Row],[Current_Salary]]-employee_data[[#This Row],[Market_Median]]</f>
        <v>1700</v>
      </c>
      <c r="L25" s="3">
        <f>(employee_data[[#This Row],[Current_Salary]]-employee_data[[#This Row],[Market_Median]])/employee_data[[#This Row],[Market_Median]]</f>
        <v>3.2692307692307694E-2</v>
      </c>
      <c r="M25" t="str" cm="1">
        <f t="array" ref="M2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" spans="1:13" x14ac:dyDescent="0.3">
      <c r="A26" s="1" t="s">
        <v>56</v>
      </c>
      <c r="B26" s="1" t="s">
        <v>30</v>
      </c>
      <c r="C26" s="1" t="s">
        <v>53</v>
      </c>
      <c r="D26" s="1" t="s">
        <v>11</v>
      </c>
      <c r="E26" s="1" t="s">
        <v>12</v>
      </c>
      <c r="F26">
        <v>3</v>
      </c>
      <c r="G26" s="2">
        <v>43000</v>
      </c>
      <c r="H26">
        <v>5</v>
      </c>
      <c r="I26" s="2">
        <f>_xlfn.XLOOKUP(employee_data[[#This Row],[Job_Title]],market_benchmarks[Job_Title],market_benchmarks[Market_Median],"Not Found")</f>
        <v>48000</v>
      </c>
      <c r="J26" s="3">
        <f>employee_data[[#This Row],[Current_Salary]]/employee_data[[#This Row],[Market_Median]]</f>
        <v>0.89583333333333337</v>
      </c>
      <c r="K26" s="2">
        <f>employee_data[[#This Row],[Current_Salary]]-employee_data[[#This Row],[Market_Median]]</f>
        <v>-5000</v>
      </c>
      <c r="L26" s="3">
        <f>(employee_data[[#This Row],[Current_Salary]]-employee_data[[#This Row],[Market_Median]])/employee_data[[#This Row],[Market_Median]]</f>
        <v>-0.10416666666666667</v>
      </c>
      <c r="M26" t="str" cm="1">
        <f t="array" ref="M2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7" spans="1:13" x14ac:dyDescent="0.3">
      <c r="A27" s="1" t="s">
        <v>57</v>
      </c>
      <c r="B27" s="1" t="s">
        <v>14</v>
      </c>
      <c r="C27" s="1" t="s">
        <v>48</v>
      </c>
      <c r="D27" s="1" t="s">
        <v>11</v>
      </c>
      <c r="E27" s="1" t="s">
        <v>12</v>
      </c>
      <c r="F27">
        <v>3</v>
      </c>
      <c r="G27" s="2">
        <v>40000</v>
      </c>
      <c r="H27">
        <v>5</v>
      </c>
      <c r="I27" s="2">
        <f>_xlfn.XLOOKUP(employee_data[[#This Row],[Job_Title]],market_benchmarks[Job_Title],market_benchmarks[Market_Median],"Not Found")</f>
        <v>50000</v>
      </c>
      <c r="J27" s="3">
        <f>employee_data[[#This Row],[Current_Salary]]/employee_data[[#This Row],[Market_Median]]</f>
        <v>0.8</v>
      </c>
      <c r="K27" s="2">
        <f>employee_data[[#This Row],[Current_Salary]]-employee_data[[#This Row],[Market_Median]]</f>
        <v>-10000</v>
      </c>
      <c r="L27" s="3">
        <f>(employee_data[[#This Row],[Current_Salary]]-employee_data[[#This Row],[Market_Median]])/employee_data[[#This Row],[Market_Median]]</f>
        <v>-0.2</v>
      </c>
      <c r="M27" t="str" cm="1">
        <f t="array" ref="M27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8" spans="1:13" x14ac:dyDescent="0.3">
      <c r="A28" s="1" t="s">
        <v>58</v>
      </c>
      <c r="B28" s="1" t="s">
        <v>14</v>
      </c>
      <c r="C28" s="1" t="s">
        <v>15</v>
      </c>
      <c r="D28" s="1" t="s">
        <v>16</v>
      </c>
      <c r="E28" s="1" t="s">
        <v>12</v>
      </c>
      <c r="F28">
        <v>1</v>
      </c>
      <c r="G28" s="2">
        <v>72900</v>
      </c>
      <c r="H28">
        <v>3</v>
      </c>
      <c r="I28" s="2">
        <f>_xlfn.XLOOKUP(employee_data[[#This Row],[Job_Title]],market_benchmarks[Job_Title],market_benchmarks[Market_Median],"Not Found")</f>
        <v>82000</v>
      </c>
      <c r="J28" s="3">
        <f>employee_data[[#This Row],[Current_Salary]]/employee_data[[#This Row],[Market_Median]]</f>
        <v>0.88902439024390245</v>
      </c>
      <c r="K28" s="2">
        <f>employee_data[[#This Row],[Current_Salary]]-employee_data[[#This Row],[Market_Median]]</f>
        <v>-9100</v>
      </c>
      <c r="L28" s="3">
        <f>(employee_data[[#This Row],[Current_Salary]]-employee_data[[#This Row],[Market_Median]])/employee_data[[#This Row],[Market_Median]]</f>
        <v>-0.11097560975609756</v>
      </c>
      <c r="M28" t="str" cm="1">
        <f t="array" ref="M2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9" spans="1:13" x14ac:dyDescent="0.3">
      <c r="A29" s="1" t="s">
        <v>59</v>
      </c>
      <c r="B29" s="1" t="s">
        <v>9</v>
      </c>
      <c r="C29" s="1" t="s">
        <v>60</v>
      </c>
      <c r="D29" s="1" t="s">
        <v>32</v>
      </c>
      <c r="E29" s="1" t="s">
        <v>12</v>
      </c>
      <c r="F29">
        <v>10</v>
      </c>
      <c r="G29" s="2">
        <v>71600</v>
      </c>
      <c r="H29">
        <v>3</v>
      </c>
      <c r="I29" s="2">
        <f>_xlfn.XLOOKUP(employee_data[[#This Row],[Job_Title]],market_benchmarks[Job_Title],market_benchmarks[Market_Median],"Not Found")</f>
        <v>78000</v>
      </c>
      <c r="J29" s="3">
        <f>employee_data[[#This Row],[Current_Salary]]/employee_data[[#This Row],[Market_Median]]</f>
        <v>0.91794871794871791</v>
      </c>
      <c r="K29" s="2">
        <f>employee_data[[#This Row],[Current_Salary]]-employee_data[[#This Row],[Market_Median]]</f>
        <v>-6400</v>
      </c>
      <c r="L29" s="3">
        <f>(employee_data[[#This Row],[Current_Salary]]-employee_data[[#This Row],[Market_Median]])/employee_data[[#This Row],[Market_Median]]</f>
        <v>-8.2051282051282051E-2</v>
      </c>
      <c r="M29" t="str" cm="1">
        <f t="array" ref="M2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0" spans="1:13" x14ac:dyDescent="0.3">
      <c r="A30" s="1" t="s">
        <v>61</v>
      </c>
      <c r="B30" s="1" t="s">
        <v>9</v>
      </c>
      <c r="C30" s="1" t="s">
        <v>10</v>
      </c>
      <c r="D30" s="1" t="s">
        <v>11</v>
      </c>
      <c r="E30" s="1" t="s">
        <v>12</v>
      </c>
      <c r="F30">
        <v>6</v>
      </c>
      <c r="G30" s="2">
        <v>60000</v>
      </c>
      <c r="H30">
        <v>5</v>
      </c>
      <c r="I30" s="2">
        <f>_xlfn.XLOOKUP(employee_data[[#This Row],[Job_Title]],market_benchmarks[Job_Title],market_benchmarks[Market_Median],"Not Found")</f>
        <v>58000</v>
      </c>
      <c r="J30" s="3">
        <f>employee_data[[#This Row],[Current_Salary]]/employee_data[[#This Row],[Market_Median]]</f>
        <v>1.0344827586206897</v>
      </c>
      <c r="K30" s="2">
        <f>employee_data[[#This Row],[Current_Salary]]-employee_data[[#This Row],[Market_Median]]</f>
        <v>2000</v>
      </c>
      <c r="L30" s="3">
        <f>(employee_data[[#This Row],[Current_Salary]]-employee_data[[#This Row],[Market_Median]])/employee_data[[#This Row],[Market_Median]]</f>
        <v>3.4482758620689655E-2</v>
      </c>
      <c r="M30" t="str" cm="1">
        <f t="array" ref="M3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1" spans="1:13" x14ac:dyDescent="0.3">
      <c r="A31" s="1" t="s">
        <v>62</v>
      </c>
      <c r="B31" s="1" t="s">
        <v>30</v>
      </c>
      <c r="C31" s="1" t="s">
        <v>53</v>
      </c>
      <c r="D31" s="1" t="s">
        <v>11</v>
      </c>
      <c r="E31" s="1" t="s">
        <v>12</v>
      </c>
      <c r="F31">
        <v>8</v>
      </c>
      <c r="G31" s="2">
        <v>39300</v>
      </c>
      <c r="H31">
        <v>3</v>
      </c>
      <c r="I31" s="2">
        <f>_xlfn.XLOOKUP(employee_data[[#This Row],[Job_Title]],market_benchmarks[Job_Title],market_benchmarks[Market_Median],"Not Found")</f>
        <v>48000</v>
      </c>
      <c r="J31" s="3">
        <f>employee_data[[#This Row],[Current_Salary]]/employee_data[[#This Row],[Market_Median]]</f>
        <v>0.81874999999999998</v>
      </c>
      <c r="K31" s="2">
        <f>employee_data[[#This Row],[Current_Salary]]-employee_data[[#This Row],[Market_Median]]</f>
        <v>-8700</v>
      </c>
      <c r="L31" s="3">
        <f>(employee_data[[#This Row],[Current_Salary]]-employee_data[[#This Row],[Market_Median]])/employee_data[[#This Row],[Market_Median]]</f>
        <v>-0.18124999999999999</v>
      </c>
      <c r="M31" t="str" cm="1">
        <f t="array" ref="M3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2" spans="1:13" x14ac:dyDescent="0.3">
      <c r="A32" s="1" t="s">
        <v>63</v>
      </c>
      <c r="B32" s="1" t="s">
        <v>22</v>
      </c>
      <c r="C32" s="1" t="s">
        <v>41</v>
      </c>
      <c r="D32" s="1" t="s">
        <v>16</v>
      </c>
      <c r="E32" s="1" t="s">
        <v>12</v>
      </c>
      <c r="F32">
        <v>8</v>
      </c>
      <c r="G32" s="2">
        <v>71400</v>
      </c>
      <c r="H32">
        <v>3</v>
      </c>
      <c r="I32" s="2">
        <f>_xlfn.XLOOKUP(employee_data[[#This Row],[Job_Title]],market_benchmarks[Job_Title],market_benchmarks[Market_Median],"Not Found")</f>
        <v>85000</v>
      </c>
      <c r="J32" s="3">
        <f>employee_data[[#This Row],[Current_Salary]]/employee_data[[#This Row],[Market_Median]]</f>
        <v>0.84</v>
      </c>
      <c r="K32" s="2">
        <f>employee_data[[#This Row],[Current_Salary]]-employee_data[[#This Row],[Market_Median]]</f>
        <v>-13600</v>
      </c>
      <c r="L32" s="3">
        <f>(employee_data[[#This Row],[Current_Salary]]-employee_data[[#This Row],[Market_Median]])/employee_data[[#This Row],[Market_Median]]</f>
        <v>-0.16</v>
      </c>
      <c r="M32" t="str" cm="1">
        <f t="array" ref="M3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3" spans="1:13" x14ac:dyDescent="0.3">
      <c r="A33" s="1" t="s">
        <v>64</v>
      </c>
      <c r="B33" s="1" t="s">
        <v>14</v>
      </c>
      <c r="C33" s="1" t="s">
        <v>65</v>
      </c>
      <c r="D33" s="1" t="s">
        <v>32</v>
      </c>
      <c r="E33" s="1" t="s">
        <v>12</v>
      </c>
      <c r="F33">
        <v>8</v>
      </c>
      <c r="G33" s="2">
        <v>70800</v>
      </c>
      <c r="H33">
        <v>3</v>
      </c>
      <c r="I33" s="2">
        <f>_xlfn.XLOOKUP(employee_data[[#This Row],[Job_Title]],market_benchmarks[Job_Title],market_benchmarks[Market_Median],"Not Found")</f>
        <v>68000</v>
      </c>
      <c r="J33" s="3">
        <f>employee_data[[#This Row],[Current_Salary]]/employee_data[[#This Row],[Market_Median]]</f>
        <v>1.0411764705882354</v>
      </c>
      <c r="K33" s="2">
        <f>employee_data[[#This Row],[Current_Salary]]-employee_data[[#This Row],[Market_Median]]</f>
        <v>2800</v>
      </c>
      <c r="L33" s="3">
        <f>(employee_data[[#This Row],[Current_Salary]]-employee_data[[#This Row],[Market_Median]])/employee_data[[#This Row],[Market_Median]]</f>
        <v>4.1176470588235294E-2</v>
      </c>
      <c r="M33" t="str" cm="1">
        <f t="array" ref="M3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4" spans="1:13" x14ac:dyDescent="0.3">
      <c r="A34" s="1" t="s">
        <v>66</v>
      </c>
      <c r="B34" s="1" t="s">
        <v>22</v>
      </c>
      <c r="C34" s="1" t="s">
        <v>23</v>
      </c>
      <c r="D34" s="1" t="s">
        <v>11</v>
      </c>
      <c r="E34" s="1" t="s">
        <v>12</v>
      </c>
      <c r="F34">
        <v>19</v>
      </c>
      <c r="G34" s="2">
        <v>52900</v>
      </c>
      <c r="H34">
        <v>3</v>
      </c>
      <c r="I34" s="2">
        <f>_xlfn.XLOOKUP(employee_data[[#This Row],[Job_Title]],market_benchmarks[Job_Title],market_benchmarks[Market_Median],"Not Found")</f>
        <v>50000</v>
      </c>
      <c r="J34" s="3">
        <f>employee_data[[#This Row],[Current_Salary]]/employee_data[[#This Row],[Market_Median]]</f>
        <v>1.0580000000000001</v>
      </c>
      <c r="K34" s="2">
        <f>employee_data[[#This Row],[Current_Salary]]-employee_data[[#This Row],[Market_Median]]</f>
        <v>2900</v>
      </c>
      <c r="L34" s="3">
        <f>(employee_data[[#This Row],[Current_Salary]]-employee_data[[#This Row],[Market_Median]])/employee_data[[#This Row],[Market_Median]]</f>
        <v>5.8000000000000003E-2</v>
      </c>
      <c r="M34" t="str" cm="1">
        <f t="array" ref="M3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5" spans="1:13" x14ac:dyDescent="0.3">
      <c r="A35" s="1" t="s">
        <v>67</v>
      </c>
      <c r="B35" s="1" t="s">
        <v>18</v>
      </c>
      <c r="C35" s="1" t="s">
        <v>28</v>
      </c>
      <c r="D35" s="1" t="s">
        <v>11</v>
      </c>
      <c r="E35" s="1" t="s">
        <v>12</v>
      </c>
      <c r="F35">
        <v>16</v>
      </c>
      <c r="G35" s="2">
        <v>54600</v>
      </c>
      <c r="H35">
        <v>3</v>
      </c>
      <c r="I35" s="2">
        <f>_xlfn.XLOOKUP(employee_data[[#This Row],[Job_Title]],market_benchmarks[Job_Title],market_benchmarks[Market_Median],"Not Found")</f>
        <v>52000</v>
      </c>
      <c r="J35" s="3">
        <f>employee_data[[#This Row],[Current_Salary]]/employee_data[[#This Row],[Market_Median]]</f>
        <v>1.05</v>
      </c>
      <c r="K35" s="2">
        <f>employee_data[[#This Row],[Current_Salary]]-employee_data[[#This Row],[Market_Median]]</f>
        <v>2600</v>
      </c>
      <c r="L35" s="3">
        <f>(employee_data[[#This Row],[Current_Salary]]-employee_data[[#This Row],[Market_Median]])/employee_data[[#This Row],[Market_Median]]</f>
        <v>0.05</v>
      </c>
      <c r="M35" t="str" cm="1">
        <f t="array" ref="M3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6" spans="1:13" x14ac:dyDescent="0.3">
      <c r="A36" s="1" t="s">
        <v>68</v>
      </c>
      <c r="B36" s="1" t="s">
        <v>38</v>
      </c>
      <c r="C36" s="1" t="s">
        <v>39</v>
      </c>
      <c r="D36" s="1" t="s">
        <v>32</v>
      </c>
      <c r="E36" s="1" t="s">
        <v>12</v>
      </c>
      <c r="F36">
        <v>4</v>
      </c>
      <c r="G36" s="2">
        <v>76500</v>
      </c>
      <c r="H36">
        <v>3</v>
      </c>
      <c r="I36" s="2">
        <f>_xlfn.XLOOKUP(employee_data[[#This Row],[Job_Title]],market_benchmarks[Job_Title],market_benchmarks[Market_Median],"Not Found")</f>
        <v>70000</v>
      </c>
      <c r="J36" s="3">
        <f>employee_data[[#This Row],[Current_Salary]]/employee_data[[#This Row],[Market_Median]]</f>
        <v>1.0928571428571427</v>
      </c>
      <c r="K36" s="2">
        <f>employee_data[[#This Row],[Current_Salary]]-employee_data[[#This Row],[Market_Median]]</f>
        <v>6500</v>
      </c>
      <c r="L36" s="3">
        <f>(employee_data[[#This Row],[Current_Salary]]-employee_data[[#This Row],[Market_Median]])/employee_data[[#This Row],[Market_Median]]</f>
        <v>9.285714285714286E-2</v>
      </c>
      <c r="M36" t="str" cm="1">
        <f t="array" ref="M3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7" spans="1:13" x14ac:dyDescent="0.3">
      <c r="A37" s="1" t="s">
        <v>69</v>
      </c>
      <c r="B37" s="1" t="s">
        <v>18</v>
      </c>
      <c r="C37" s="1" t="s">
        <v>43</v>
      </c>
      <c r="D37" s="1" t="s">
        <v>32</v>
      </c>
      <c r="E37" s="1" t="s">
        <v>12</v>
      </c>
      <c r="F37">
        <v>5</v>
      </c>
      <c r="G37" s="2">
        <v>76100</v>
      </c>
      <c r="H37">
        <v>3</v>
      </c>
      <c r="I37" s="2">
        <f>_xlfn.XLOOKUP(employee_data[[#This Row],[Job_Title]],market_benchmarks[Job_Title],market_benchmarks[Market_Median],"Not Found")</f>
        <v>72000</v>
      </c>
      <c r="J37" s="3">
        <f>employee_data[[#This Row],[Current_Salary]]/employee_data[[#This Row],[Market_Median]]</f>
        <v>1.0569444444444445</v>
      </c>
      <c r="K37" s="2">
        <f>employee_data[[#This Row],[Current_Salary]]-employee_data[[#This Row],[Market_Median]]</f>
        <v>4100</v>
      </c>
      <c r="L37" s="3">
        <f>(employee_data[[#This Row],[Current_Salary]]-employee_data[[#This Row],[Market_Median]])/employee_data[[#This Row],[Market_Median]]</f>
        <v>5.6944444444444443E-2</v>
      </c>
      <c r="M37" t="str" cm="1">
        <f t="array" ref="M3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8" spans="1:13" x14ac:dyDescent="0.3">
      <c r="A38" s="1" t="s">
        <v>70</v>
      </c>
      <c r="B38" s="1" t="s">
        <v>9</v>
      </c>
      <c r="C38" s="1" t="s">
        <v>25</v>
      </c>
      <c r="D38" s="1" t="s">
        <v>16</v>
      </c>
      <c r="E38" s="1" t="s">
        <v>12</v>
      </c>
      <c r="F38">
        <v>10</v>
      </c>
      <c r="G38" s="2">
        <v>100200</v>
      </c>
      <c r="H38">
        <v>3</v>
      </c>
      <c r="I38" s="2">
        <f>_xlfn.XLOOKUP(employee_data[[#This Row],[Job_Title]],market_benchmarks[Job_Title],market_benchmarks[Market_Median],"Not Found")</f>
        <v>98000</v>
      </c>
      <c r="J38" s="3">
        <f>employee_data[[#This Row],[Current_Salary]]/employee_data[[#This Row],[Market_Median]]</f>
        <v>1.0224489795918368</v>
      </c>
      <c r="K38" s="2">
        <f>employee_data[[#This Row],[Current_Salary]]-employee_data[[#This Row],[Market_Median]]</f>
        <v>2200</v>
      </c>
      <c r="L38" s="3">
        <f>(employee_data[[#This Row],[Current_Salary]]-employee_data[[#This Row],[Market_Median]])/employee_data[[#This Row],[Market_Median]]</f>
        <v>2.2448979591836733E-2</v>
      </c>
      <c r="M38" t="str" cm="1">
        <f t="array" ref="M3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" spans="1:13" x14ac:dyDescent="0.3">
      <c r="A39" s="1" t="s">
        <v>71</v>
      </c>
      <c r="B39" s="1" t="s">
        <v>18</v>
      </c>
      <c r="C39" s="1" t="s">
        <v>43</v>
      </c>
      <c r="D39" s="1" t="s">
        <v>32</v>
      </c>
      <c r="E39" s="1" t="s">
        <v>12</v>
      </c>
      <c r="F39">
        <v>5</v>
      </c>
      <c r="G39" s="2">
        <v>63900</v>
      </c>
      <c r="H39">
        <v>3</v>
      </c>
      <c r="I39" s="2">
        <f>_xlfn.XLOOKUP(employee_data[[#This Row],[Job_Title]],market_benchmarks[Job_Title],market_benchmarks[Market_Median],"Not Found")</f>
        <v>72000</v>
      </c>
      <c r="J39" s="3">
        <f>employee_data[[#This Row],[Current_Salary]]/employee_data[[#This Row],[Market_Median]]</f>
        <v>0.88749999999999996</v>
      </c>
      <c r="K39" s="2">
        <f>employee_data[[#This Row],[Current_Salary]]-employee_data[[#This Row],[Market_Median]]</f>
        <v>-8100</v>
      </c>
      <c r="L39" s="3">
        <f>(employee_data[[#This Row],[Current_Salary]]-employee_data[[#This Row],[Market_Median]])/employee_data[[#This Row],[Market_Median]]</f>
        <v>-0.1125</v>
      </c>
      <c r="M39" t="str" cm="1">
        <f t="array" ref="M3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0" spans="1:13" x14ac:dyDescent="0.3">
      <c r="A40" s="1" t="s">
        <v>72</v>
      </c>
      <c r="B40" s="1" t="s">
        <v>30</v>
      </c>
      <c r="C40" s="1" t="s">
        <v>53</v>
      </c>
      <c r="D40" s="1" t="s">
        <v>11</v>
      </c>
      <c r="E40" s="1" t="s">
        <v>12</v>
      </c>
      <c r="F40">
        <v>5</v>
      </c>
      <c r="G40" s="2">
        <v>43600</v>
      </c>
      <c r="H40">
        <v>4</v>
      </c>
      <c r="I40" s="2">
        <f>_xlfn.XLOOKUP(employee_data[[#This Row],[Job_Title]],market_benchmarks[Job_Title],market_benchmarks[Market_Median],"Not Found")</f>
        <v>48000</v>
      </c>
      <c r="J40" s="3">
        <f>employee_data[[#This Row],[Current_Salary]]/employee_data[[#This Row],[Market_Median]]</f>
        <v>0.90833333333333333</v>
      </c>
      <c r="K40" s="2">
        <f>employee_data[[#This Row],[Current_Salary]]-employee_data[[#This Row],[Market_Median]]</f>
        <v>-4400</v>
      </c>
      <c r="L40" s="3">
        <f>(employee_data[[#This Row],[Current_Salary]]-employee_data[[#This Row],[Market_Median]])/employee_data[[#This Row],[Market_Median]]</f>
        <v>-9.166666666666666E-2</v>
      </c>
      <c r="M40" t="str" cm="1">
        <f t="array" ref="M4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1" spans="1:13" x14ac:dyDescent="0.3">
      <c r="A41" s="1" t="s">
        <v>73</v>
      </c>
      <c r="B41" s="1" t="s">
        <v>9</v>
      </c>
      <c r="C41" s="1" t="s">
        <v>25</v>
      </c>
      <c r="D41" s="1" t="s">
        <v>16</v>
      </c>
      <c r="E41" s="1" t="s">
        <v>12</v>
      </c>
      <c r="F41">
        <v>2</v>
      </c>
      <c r="G41" s="2">
        <v>101500</v>
      </c>
      <c r="H41">
        <v>4</v>
      </c>
      <c r="I41" s="2">
        <f>_xlfn.XLOOKUP(employee_data[[#This Row],[Job_Title]],market_benchmarks[Job_Title],market_benchmarks[Market_Median],"Not Found")</f>
        <v>98000</v>
      </c>
      <c r="J41" s="3">
        <f>employee_data[[#This Row],[Current_Salary]]/employee_data[[#This Row],[Market_Median]]</f>
        <v>1.0357142857142858</v>
      </c>
      <c r="K41" s="2">
        <f>employee_data[[#This Row],[Current_Salary]]-employee_data[[#This Row],[Market_Median]]</f>
        <v>3500</v>
      </c>
      <c r="L41" s="3">
        <f>(employee_data[[#This Row],[Current_Salary]]-employee_data[[#This Row],[Market_Median]])/employee_data[[#This Row],[Market_Median]]</f>
        <v>3.5714285714285712E-2</v>
      </c>
      <c r="M41" t="str" cm="1">
        <f t="array" ref="M4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2" spans="1:13" x14ac:dyDescent="0.3">
      <c r="A42" s="1" t="s">
        <v>74</v>
      </c>
      <c r="B42" s="1" t="s">
        <v>9</v>
      </c>
      <c r="C42" s="1" t="s">
        <v>25</v>
      </c>
      <c r="D42" s="1" t="s">
        <v>16</v>
      </c>
      <c r="E42" s="1" t="s">
        <v>12</v>
      </c>
      <c r="F42">
        <v>19</v>
      </c>
      <c r="G42" s="2">
        <v>97300</v>
      </c>
      <c r="H42">
        <v>5</v>
      </c>
      <c r="I42" s="2">
        <f>_xlfn.XLOOKUP(employee_data[[#This Row],[Job_Title]],market_benchmarks[Job_Title],market_benchmarks[Market_Median],"Not Found")</f>
        <v>98000</v>
      </c>
      <c r="J42" s="3">
        <f>employee_data[[#This Row],[Current_Salary]]/employee_data[[#This Row],[Market_Median]]</f>
        <v>0.99285714285714288</v>
      </c>
      <c r="K42" s="2">
        <f>employee_data[[#This Row],[Current_Salary]]-employee_data[[#This Row],[Market_Median]]</f>
        <v>-700</v>
      </c>
      <c r="L42" s="3">
        <f>(employee_data[[#This Row],[Current_Salary]]-employee_data[[#This Row],[Market_Median]])/employee_data[[#This Row],[Market_Median]]</f>
        <v>-7.1428571428571426E-3</v>
      </c>
      <c r="M42" t="str" cm="1">
        <f t="array" ref="M4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" spans="1:13" x14ac:dyDescent="0.3">
      <c r="A43" s="1" t="s">
        <v>75</v>
      </c>
      <c r="B43" s="1" t="s">
        <v>30</v>
      </c>
      <c r="C43" s="1" t="s">
        <v>76</v>
      </c>
      <c r="D43" s="1" t="s">
        <v>16</v>
      </c>
      <c r="E43" s="1" t="s">
        <v>12</v>
      </c>
      <c r="F43">
        <v>17</v>
      </c>
      <c r="G43" s="2">
        <v>50600</v>
      </c>
      <c r="H43">
        <v>5</v>
      </c>
      <c r="I43" s="2">
        <f>_xlfn.XLOOKUP(employee_data[[#This Row],[Job_Title]],market_benchmarks[Job_Title],market_benchmarks[Market_Median],"Not Found")</f>
        <v>72000</v>
      </c>
      <c r="J43" s="3">
        <f>employee_data[[#This Row],[Current_Salary]]/employee_data[[#This Row],[Market_Median]]</f>
        <v>0.70277777777777772</v>
      </c>
      <c r="K43" s="2">
        <f>employee_data[[#This Row],[Current_Salary]]-employee_data[[#This Row],[Market_Median]]</f>
        <v>-21400</v>
      </c>
      <c r="L43" s="3">
        <f>(employee_data[[#This Row],[Current_Salary]]-employee_data[[#This Row],[Market_Median]])/employee_data[[#This Row],[Market_Median]]</f>
        <v>-0.29722222222222222</v>
      </c>
      <c r="M43" t="str" cm="1">
        <f t="array" ref="M4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4" spans="1:13" x14ac:dyDescent="0.3">
      <c r="A44" s="1" t="s">
        <v>77</v>
      </c>
      <c r="B44" s="1" t="s">
        <v>22</v>
      </c>
      <c r="C44" s="1" t="s">
        <v>36</v>
      </c>
      <c r="D44" s="1" t="s">
        <v>32</v>
      </c>
      <c r="E44" s="1" t="s">
        <v>12</v>
      </c>
      <c r="F44">
        <v>2</v>
      </c>
      <c r="G44" s="2">
        <v>53000</v>
      </c>
      <c r="H44">
        <v>3</v>
      </c>
      <c r="I44" s="2">
        <f>_xlfn.XLOOKUP(employee_data[[#This Row],[Job_Title]],market_benchmarks[Job_Title],market_benchmarks[Market_Median],"Not Found")</f>
        <v>68000</v>
      </c>
      <c r="J44" s="3">
        <f>employee_data[[#This Row],[Current_Salary]]/employee_data[[#This Row],[Market_Median]]</f>
        <v>0.77941176470588236</v>
      </c>
      <c r="K44" s="2">
        <f>employee_data[[#This Row],[Current_Salary]]-employee_data[[#This Row],[Market_Median]]</f>
        <v>-15000</v>
      </c>
      <c r="L44" s="3">
        <f>(employee_data[[#This Row],[Current_Salary]]-employee_data[[#This Row],[Market_Median]])/employee_data[[#This Row],[Market_Median]]</f>
        <v>-0.22058823529411764</v>
      </c>
      <c r="M44" t="str" cm="1">
        <f t="array" ref="M4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5" spans="1:13" x14ac:dyDescent="0.3">
      <c r="A45" s="1" t="s">
        <v>78</v>
      </c>
      <c r="B45" s="1" t="s">
        <v>30</v>
      </c>
      <c r="C45" s="1" t="s">
        <v>31</v>
      </c>
      <c r="D45" s="1" t="s">
        <v>32</v>
      </c>
      <c r="E45" s="1" t="s">
        <v>12</v>
      </c>
      <c r="F45">
        <v>11</v>
      </c>
      <c r="G45" s="2">
        <v>55800</v>
      </c>
      <c r="H45">
        <v>3</v>
      </c>
      <c r="I45" s="2">
        <f>_xlfn.XLOOKUP(employee_data[[#This Row],[Job_Title]],market_benchmarks[Job_Title],market_benchmarks[Market_Median],"Not Found")</f>
        <v>58000</v>
      </c>
      <c r="J45" s="3">
        <f>employee_data[[#This Row],[Current_Salary]]/employee_data[[#This Row],[Market_Median]]</f>
        <v>0.96206896551724141</v>
      </c>
      <c r="K45" s="2">
        <f>employee_data[[#This Row],[Current_Salary]]-employee_data[[#This Row],[Market_Median]]</f>
        <v>-2200</v>
      </c>
      <c r="L45" s="3">
        <f>(employee_data[[#This Row],[Current_Salary]]-employee_data[[#This Row],[Market_Median]])/employee_data[[#This Row],[Market_Median]]</f>
        <v>-3.793103448275862E-2</v>
      </c>
      <c r="M45" t="str" cm="1">
        <f t="array" ref="M4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6" spans="1:13" x14ac:dyDescent="0.3">
      <c r="A46" s="1" t="s">
        <v>79</v>
      </c>
      <c r="B46" s="1" t="s">
        <v>14</v>
      </c>
      <c r="C46" s="1" t="s">
        <v>15</v>
      </c>
      <c r="D46" s="1" t="s">
        <v>16</v>
      </c>
      <c r="E46" s="1" t="s">
        <v>12</v>
      </c>
      <c r="F46">
        <v>8</v>
      </c>
      <c r="G46" s="2">
        <v>84600</v>
      </c>
      <c r="H46">
        <v>3</v>
      </c>
      <c r="I46" s="2">
        <f>_xlfn.XLOOKUP(employee_data[[#This Row],[Job_Title]],market_benchmarks[Job_Title],market_benchmarks[Market_Median],"Not Found")</f>
        <v>82000</v>
      </c>
      <c r="J46" s="3">
        <f>employee_data[[#This Row],[Current_Salary]]/employee_data[[#This Row],[Market_Median]]</f>
        <v>1.0317073170731708</v>
      </c>
      <c r="K46" s="2">
        <f>employee_data[[#This Row],[Current_Salary]]-employee_data[[#This Row],[Market_Median]]</f>
        <v>2600</v>
      </c>
      <c r="L46" s="3">
        <f>(employee_data[[#This Row],[Current_Salary]]-employee_data[[#This Row],[Market_Median]])/employee_data[[#This Row],[Market_Median]]</f>
        <v>3.1707317073170732E-2</v>
      </c>
      <c r="M46" t="str" cm="1">
        <f t="array" ref="M4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7" spans="1:13" x14ac:dyDescent="0.3">
      <c r="A47" s="1" t="s">
        <v>80</v>
      </c>
      <c r="B47" s="1" t="s">
        <v>9</v>
      </c>
      <c r="C47" s="1" t="s">
        <v>60</v>
      </c>
      <c r="D47" s="1" t="s">
        <v>32</v>
      </c>
      <c r="E47" s="1" t="s">
        <v>12</v>
      </c>
      <c r="F47">
        <v>0</v>
      </c>
      <c r="G47" s="2">
        <v>77800</v>
      </c>
      <c r="H47">
        <v>3</v>
      </c>
      <c r="I47" s="2">
        <f>_xlfn.XLOOKUP(employee_data[[#This Row],[Job_Title]],market_benchmarks[Job_Title],market_benchmarks[Market_Median],"Not Found")</f>
        <v>78000</v>
      </c>
      <c r="J47" s="3">
        <f>employee_data[[#This Row],[Current_Salary]]/employee_data[[#This Row],[Market_Median]]</f>
        <v>0.99743589743589745</v>
      </c>
      <c r="K47" s="2">
        <f>employee_data[[#This Row],[Current_Salary]]-employee_data[[#This Row],[Market_Median]]</f>
        <v>-200</v>
      </c>
      <c r="L47" s="3">
        <f>(employee_data[[#This Row],[Current_Salary]]-employee_data[[#This Row],[Market_Median]])/employee_data[[#This Row],[Market_Median]]</f>
        <v>-2.5641025641025641E-3</v>
      </c>
      <c r="M47" t="str" cm="1">
        <f t="array" ref="M4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8" spans="1:13" x14ac:dyDescent="0.3">
      <c r="A48" s="1" t="s">
        <v>81</v>
      </c>
      <c r="B48" s="1" t="s">
        <v>14</v>
      </c>
      <c r="C48" s="1" t="s">
        <v>48</v>
      </c>
      <c r="D48" s="1" t="s">
        <v>11</v>
      </c>
      <c r="E48" s="1" t="s">
        <v>12</v>
      </c>
      <c r="F48">
        <v>7</v>
      </c>
      <c r="G48" s="2">
        <v>51800</v>
      </c>
      <c r="H48">
        <v>4</v>
      </c>
      <c r="I48" s="2">
        <f>_xlfn.XLOOKUP(employee_data[[#This Row],[Job_Title]],market_benchmarks[Job_Title],market_benchmarks[Market_Median],"Not Found")</f>
        <v>50000</v>
      </c>
      <c r="J48" s="3">
        <f>employee_data[[#This Row],[Current_Salary]]/employee_data[[#This Row],[Market_Median]]</f>
        <v>1.036</v>
      </c>
      <c r="K48" s="2">
        <f>employee_data[[#This Row],[Current_Salary]]-employee_data[[#This Row],[Market_Median]]</f>
        <v>1800</v>
      </c>
      <c r="L48" s="3">
        <f>(employee_data[[#This Row],[Current_Salary]]-employee_data[[#This Row],[Market_Median]])/employee_data[[#This Row],[Market_Median]]</f>
        <v>3.5999999999999997E-2</v>
      </c>
      <c r="M48" t="str" cm="1">
        <f t="array" ref="M4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9" spans="1:13" x14ac:dyDescent="0.3">
      <c r="A49" s="1" t="s">
        <v>82</v>
      </c>
      <c r="B49" s="1" t="s">
        <v>22</v>
      </c>
      <c r="C49" s="1" t="s">
        <v>23</v>
      </c>
      <c r="D49" s="1" t="s">
        <v>11</v>
      </c>
      <c r="E49" s="1" t="s">
        <v>12</v>
      </c>
      <c r="F49">
        <v>2</v>
      </c>
      <c r="G49" s="2">
        <v>56400</v>
      </c>
      <c r="H49">
        <v>5</v>
      </c>
      <c r="I49" s="2">
        <f>_xlfn.XLOOKUP(employee_data[[#This Row],[Job_Title]],market_benchmarks[Job_Title],market_benchmarks[Market_Median],"Not Found")</f>
        <v>50000</v>
      </c>
      <c r="J49" s="3">
        <f>employee_data[[#This Row],[Current_Salary]]/employee_data[[#This Row],[Market_Median]]</f>
        <v>1.1279999999999999</v>
      </c>
      <c r="K49" s="2">
        <f>employee_data[[#This Row],[Current_Salary]]-employee_data[[#This Row],[Market_Median]]</f>
        <v>6400</v>
      </c>
      <c r="L49" s="3">
        <f>(employee_data[[#This Row],[Current_Salary]]-employee_data[[#This Row],[Market_Median]])/employee_data[[#This Row],[Market_Median]]</f>
        <v>0.128</v>
      </c>
      <c r="M49" t="str" cm="1">
        <f t="array" ref="M4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50" spans="1:13" x14ac:dyDescent="0.3">
      <c r="A50" s="1" t="s">
        <v>83</v>
      </c>
      <c r="B50" s="1" t="s">
        <v>38</v>
      </c>
      <c r="C50" s="1" t="s">
        <v>39</v>
      </c>
      <c r="D50" s="1" t="s">
        <v>32</v>
      </c>
      <c r="E50" s="1" t="s">
        <v>12</v>
      </c>
      <c r="F50">
        <v>17</v>
      </c>
      <c r="G50" s="2">
        <v>67600</v>
      </c>
      <c r="H50">
        <v>3</v>
      </c>
      <c r="I50" s="2">
        <f>_xlfn.XLOOKUP(employee_data[[#This Row],[Job_Title]],market_benchmarks[Job_Title],market_benchmarks[Market_Median],"Not Found")</f>
        <v>70000</v>
      </c>
      <c r="J50" s="3">
        <f>employee_data[[#This Row],[Current_Salary]]/employee_data[[#This Row],[Market_Median]]</f>
        <v>0.96571428571428575</v>
      </c>
      <c r="K50" s="2">
        <f>employee_data[[#This Row],[Current_Salary]]-employee_data[[#This Row],[Market_Median]]</f>
        <v>-2400</v>
      </c>
      <c r="L50" s="3">
        <f>(employee_data[[#This Row],[Current_Salary]]-employee_data[[#This Row],[Market_Median]])/employee_data[[#This Row],[Market_Median]]</f>
        <v>-3.4285714285714287E-2</v>
      </c>
      <c r="M50" t="str" cm="1">
        <f t="array" ref="M5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1" spans="1:13" x14ac:dyDescent="0.3">
      <c r="A51" s="1" t="s">
        <v>84</v>
      </c>
      <c r="B51" s="1" t="s">
        <v>9</v>
      </c>
      <c r="C51" s="1" t="s">
        <v>10</v>
      </c>
      <c r="D51" s="1" t="s">
        <v>11</v>
      </c>
      <c r="E51" s="1" t="s">
        <v>12</v>
      </c>
      <c r="F51">
        <v>3</v>
      </c>
      <c r="G51" s="2">
        <v>55000</v>
      </c>
      <c r="H51">
        <v>3</v>
      </c>
      <c r="I51" s="2">
        <f>_xlfn.XLOOKUP(employee_data[[#This Row],[Job_Title]],market_benchmarks[Job_Title],market_benchmarks[Market_Median],"Not Found")</f>
        <v>58000</v>
      </c>
      <c r="J51" s="3">
        <f>employee_data[[#This Row],[Current_Salary]]/employee_data[[#This Row],[Market_Median]]</f>
        <v>0.94827586206896552</v>
      </c>
      <c r="K51" s="2">
        <f>employee_data[[#This Row],[Current_Salary]]-employee_data[[#This Row],[Market_Median]]</f>
        <v>-3000</v>
      </c>
      <c r="L51" s="3">
        <f>(employee_data[[#This Row],[Current_Salary]]-employee_data[[#This Row],[Market_Median]])/employee_data[[#This Row],[Market_Median]]</f>
        <v>-5.1724137931034482E-2</v>
      </c>
      <c r="M51" t="str" cm="1">
        <f t="array" ref="M5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52" spans="1:13" x14ac:dyDescent="0.3">
      <c r="A52" s="1" t="s">
        <v>85</v>
      </c>
      <c r="B52" s="1" t="s">
        <v>18</v>
      </c>
      <c r="C52" s="1" t="s">
        <v>19</v>
      </c>
      <c r="D52" s="1" t="s">
        <v>16</v>
      </c>
      <c r="E52" s="1" t="s">
        <v>12</v>
      </c>
      <c r="F52">
        <v>2</v>
      </c>
      <c r="G52" s="2">
        <v>77700</v>
      </c>
      <c r="H52">
        <v>4</v>
      </c>
      <c r="I52" s="2">
        <f>_xlfn.XLOOKUP(employee_data[[#This Row],[Job_Title]],market_benchmarks[Job_Title],market_benchmarks[Market_Median],"Not Found")</f>
        <v>90000</v>
      </c>
      <c r="J52" s="3">
        <f>employee_data[[#This Row],[Current_Salary]]/employee_data[[#This Row],[Market_Median]]</f>
        <v>0.86333333333333329</v>
      </c>
      <c r="K52" s="2">
        <f>employee_data[[#This Row],[Current_Salary]]-employee_data[[#This Row],[Market_Median]]</f>
        <v>-12300</v>
      </c>
      <c r="L52" s="3">
        <f>(employee_data[[#This Row],[Current_Salary]]-employee_data[[#This Row],[Market_Median]])/employee_data[[#This Row],[Market_Median]]</f>
        <v>-0.13666666666666666</v>
      </c>
      <c r="M52" t="str" cm="1">
        <f t="array" ref="M5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53" spans="1:13" x14ac:dyDescent="0.3">
      <c r="A53" s="1" t="s">
        <v>86</v>
      </c>
      <c r="B53" s="1" t="s">
        <v>14</v>
      </c>
      <c r="C53" s="1" t="s">
        <v>65</v>
      </c>
      <c r="D53" s="1" t="s">
        <v>32</v>
      </c>
      <c r="E53" s="1" t="s">
        <v>12</v>
      </c>
      <c r="F53">
        <v>13</v>
      </c>
      <c r="G53" s="2">
        <v>65600</v>
      </c>
      <c r="H53">
        <v>3</v>
      </c>
      <c r="I53" s="2">
        <f>_xlfn.XLOOKUP(employee_data[[#This Row],[Job_Title]],market_benchmarks[Job_Title],market_benchmarks[Market_Median],"Not Found")</f>
        <v>68000</v>
      </c>
      <c r="J53" s="3">
        <f>employee_data[[#This Row],[Current_Salary]]/employee_data[[#This Row],[Market_Median]]</f>
        <v>0.96470588235294119</v>
      </c>
      <c r="K53" s="2">
        <f>employee_data[[#This Row],[Current_Salary]]-employee_data[[#This Row],[Market_Median]]</f>
        <v>-2400</v>
      </c>
      <c r="L53" s="3">
        <f>(employee_data[[#This Row],[Current_Salary]]-employee_data[[#This Row],[Market_Median]])/employee_data[[#This Row],[Market_Median]]</f>
        <v>-3.5294117647058823E-2</v>
      </c>
      <c r="M53" t="str" cm="1">
        <f t="array" ref="M5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4" spans="1:13" x14ac:dyDescent="0.3">
      <c r="A54" s="1" t="s">
        <v>87</v>
      </c>
      <c r="B54" s="1" t="s">
        <v>22</v>
      </c>
      <c r="C54" s="1" t="s">
        <v>23</v>
      </c>
      <c r="D54" s="1" t="s">
        <v>11</v>
      </c>
      <c r="E54" s="1" t="s">
        <v>12</v>
      </c>
      <c r="F54">
        <v>18</v>
      </c>
      <c r="G54" s="2">
        <v>53500</v>
      </c>
      <c r="H54">
        <v>4</v>
      </c>
      <c r="I54" s="2">
        <f>_xlfn.XLOOKUP(employee_data[[#This Row],[Job_Title]],market_benchmarks[Job_Title],market_benchmarks[Market_Median],"Not Found")</f>
        <v>50000</v>
      </c>
      <c r="J54" s="3">
        <f>employee_data[[#This Row],[Current_Salary]]/employee_data[[#This Row],[Market_Median]]</f>
        <v>1.07</v>
      </c>
      <c r="K54" s="2">
        <f>employee_data[[#This Row],[Current_Salary]]-employee_data[[#This Row],[Market_Median]]</f>
        <v>3500</v>
      </c>
      <c r="L54" s="3">
        <f>(employee_data[[#This Row],[Current_Salary]]-employee_data[[#This Row],[Market_Median]])/employee_data[[#This Row],[Market_Median]]</f>
        <v>7.0000000000000007E-2</v>
      </c>
      <c r="M54" t="str" cm="1">
        <f t="array" ref="M5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55" spans="1:13" x14ac:dyDescent="0.3">
      <c r="A55" s="1" t="s">
        <v>88</v>
      </c>
      <c r="B55" s="1" t="s">
        <v>22</v>
      </c>
      <c r="C55" s="1" t="s">
        <v>23</v>
      </c>
      <c r="D55" s="1" t="s">
        <v>11</v>
      </c>
      <c r="E55" s="1" t="s">
        <v>12</v>
      </c>
      <c r="F55">
        <v>14</v>
      </c>
      <c r="G55" s="2">
        <v>50200</v>
      </c>
      <c r="H55">
        <v>3</v>
      </c>
      <c r="I55" s="2">
        <f>_xlfn.XLOOKUP(employee_data[[#This Row],[Job_Title]],market_benchmarks[Job_Title],market_benchmarks[Market_Median],"Not Found")</f>
        <v>50000</v>
      </c>
      <c r="J55" s="3">
        <f>employee_data[[#This Row],[Current_Salary]]/employee_data[[#This Row],[Market_Median]]</f>
        <v>1.004</v>
      </c>
      <c r="K55" s="2">
        <f>employee_data[[#This Row],[Current_Salary]]-employee_data[[#This Row],[Market_Median]]</f>
        <v>200</v>
      </c>
      <c r="L55" s="3">
        <f>(employee_data[[#This Row],[Current_Salary]]-employee_data[[#This Row],[Market_Median]])/employee_data[[#This Row],[Market_Median]]</f>
        <v>4.0000000000000001E-3</v>
      </c>
      <c r="M55" t="str" cm="1">
        <f t="array" ref="M5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6" spans="1:13" x14ac:dyDescent="0.3">
      <c r="A56" s="1" t="s">
        <v>89</v>
      </c>
      <c r="B56" s="1" t="s">
        <v>18</v>
      </c>
      <c r="C56" s="1" t="s">
        <v>28</v>
      </c>
      <c r="D56" s="1" t="s">
        <v>11</v>
      </c>
      <c r="E56" s="1" t="s">
        <v>12</v>
      </c>
      <c r="F56">
        <v>15</v>
      </c>
      <c r="G56" s="2">
        <v>49600</v>
      </c>
      <c r="H56">
        <v>3</v>
      </c>
      <c r="I56" s="2">
        <f>_xlfn.XLOOKUP(employee_data[[#This Row],[Job_Title]],market_benchmarks[Job_Title],market_benchmarks[Market_Median],"Not Found")</f>
        <v>52000</v>
      </c>
      <c r="J56" s="3">
        <f>employee_data[[#This Row],[Current_Salary]]/employee_data[[#This Row],[Market_Median]]</f>
        <v>0.9538461538461539</v>
      </c>
      <c r="K56" s="2">
        <f>employee_data[[#This Row],[Current_Salary]]-employee_data[[#This Row],[Market_Median]]</f>
        <v>-2400</v>
      </c>
      <c r="L56" s="3">
        <f>(employee_data[[#This Row],[Current_Salary]]-employee_data[[#This Row],[Market_Median]])/employee_data[[#This Row],[Market_Median]]</f>
        <v>-4.6153846153846156E-2</v>
      </c>
      <c r="M56" t="str" cm="1">
        <f t="array" ref="M5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7" spans="1:13" x14ac:dyDescent="0.3">
      <c r="A57" s="1" t="s">
        <v>90</v>
      </c>
      <c r="B57" s="1" t="s">
        <v>30</v>
      </c>
      <c r="C57" s="1" t="s">
        <v>31</v>
      </c>
      <c r="D57" s="1" t="s">
        <v>32</v>
      </c>
      <c r="E57" s="1" t="s">
        <v>12</v>
      </c>
      <c r="F57">
        <v>13</v>
      </c>
      <c r="G57" s="2">
        <v>54300</v>
      </c>
      <c r="H57">
        <v>5</v>
      </c>
      <c r="I57" s="2">
        <f>_xlfn.XLOOKUP(employee_data[[#This Row],[Job_Title]],market_benchmarks[Job_Title],market_benchmarks[Market_Median],"Not Found")</f>
        <v>58000</v>
      </c>
      <c r="J57" s="3">
        <f>employee_data[[#This Row],[Current_Salary]]/employee_data[[#This Row],[Market_Median]]</f>
        <v>0.93620689655172418</v>
      </c>
      <c r="K57" s="2">
        <f>employee_data[[#This Row],[Current_Salary]]-employee_data[[#This Row],[Market_Median]]</f>
        <v>-3700</v>
      </c>
      <c r="L57" s="3">
        <f>(employee_data[[#This Row],[Current_Salary]]-employee_data[[#This Row],[Market_Median]])/employee_data[[#This Row],[Market_Median]]</f>
        <v>-6.3793103448275865E-2</v>
      </c>
      <c r="M57" t="str" cm="1">
        <f t="array" ref="M5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58" spans="1:13" x14ac:dyDescent="0.3">
      <c r="A58" s="1" t="s">
        <v>91</v>
      </c>
      <c r="B58" s="1" t="s">
        <v>14</v>
      </c>
      <c r="C58" s="1" t="s">
        <v>48</v>
      </c>
      <c r="D58" s="1" t="s">
        <v>11</v>
      </c>
      <c r="E58" s="1" t="s">
        <v>12</v>
      </c>
      <c r="F58">
        <v>4</v>
      </c>
      <c r="G58" s="2">
        <v>49900</v>
      </c>
      <c r="H58">
        <v>5</v>
      </c>
      <c r="I58" s="2">
        <f>_xlfn.XLOOKUP(employee_data[[#This Row],[Job_Title]],market_benchmarks[Job_Title],market_benchmarks[Market_Median],"Not Found")</f>
        <v>50000</v>
      </c>
      <c r="J58" s="3">
        <f>employee_data[[#This Row],[Current_Salary]]/employee_data[[#This Row],[Market_Median]]</f>
        <v>0.998</v>
      </c>
      <c r="K58" s="2">
        <f>employee_data[[#This Row],[Current_Salary]]-employee_data[[#This Row],[Market_Median]]</f>
        <v>-100</v>
      </c>
      <c r="L58" s="3">
        <f>(employee_data[[#This Row],[Current_Salary]]-employee_data[[#This Row],[Market_Median]])/employee_data[[#This Row],[Market_Median]]</f>
        <v>-2E-3</v>
      </c>
      <c r="M58" t="str" cm="1">
        <f t="array" ref="M5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9" spans="1:13" x14ac:dyDescent="0.3">
      <c r="A59" s="1" t="s">
        <v>92</v>
      </c>
      <c r="B59" s="1" t="s">
        <v>14</v>
      </c>
      <c r="C59" s="1" t="s">
        <v>48</v>
      </c>
      <c r="D59" s="1" t="s">
        <v>11</v>
      </c>
      <c r="E59" s="1" t="s">
        <v>12</v>
      </c>
      <c r="F59">
        <v>19</v>
      </c>
      <c r="G59" s="2">
        <v>47100</v>
      </c>
      <c r="H59">
        <v>3</v>
      </c>
      <c r="I59" s="2">
        <f>_xlfn.XLOOKUP(employee_data[[#This Row],[Job_Title]],market_benchmarks[Job_Title],market_benchmarks[Market_Median],"Not Found")</f>
        <v>50000</v>
      </c>
      <c r="J59" s="3">
        <f>employee_data[[#This Row],[Current_Salary]]/employee_data[[#This Row],[Market_Median]]</f>
        <v>0.94199999999999995</v>
      </c>
      <c r="K59" s="2">
        <f>employee_data[[#This Row],[Current_Salary]]-employee_data[[#This Row],[Market_Median]]</f>
        <v>-2900</v>
      </c>
      <c r="L59" s="3">
        <f>(employee_data[[#This Row],[Current_Salary]]-employee_data[[#This Row],[Market_Median]])/employee_data[[#This Row],[Market_Median]]</f>
        <v>-5.8000000000000003E-2</v>
      </c>
      <c r="M59" t="str" cm="1">
        <f t="array" ref="M5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60" spans="1:13" x14ac:dyDescent="0.3">
      <c r="A60" s="1" t="s">
        <v>93</v>
      </c>
      <c r="B60" s="1" t="s">
        <v>18</v>
      </c>
      <c r="C60" s="1" t="s">
        <v>19</v>
      </c>
      <c r="D60" s="1" t="s">
        <v>16</v>
      </c>
      <c r="E60" s="1" t="s">
        <v>12</v>
      </c>
      <c r="F60">
        <v>0</v>
      </c>
      <c r="G60" s="2">
        <v>87400</v>
      </c>
      <c r="H60">
        <v>3</v>
      </c>
      <c r="I60" s="2">
        <f>_xlfn.XLOOKUP(employee_data[[#This Row],[Job_Title]],market_benchmarks[Job_Title],market_benchmarks[Market_Median],"Not Found")</f>
        <v>90000</v>
      </c>
      <c r="J60" s="3">
        <f>employee_data[[#This Row],[Current_Salary]]/employee_data[[#This Row],[Market_Median]]</f>
        <v>0.97111111111111115</v>
      </c>
      <c r="K60" s="2">
        <f>employee_data[[#This Row],[Current_Salary]]-employee_data[[#This Row],[Market_Median]]</f>
        <v>-2600</v>
      </c>
      <c r="L60" s="3">
        <f>(employee_data[[#This Row],[Current_Salary]]-employee_data[[#This Row],[Market_Median]])/employee_data[[#This Row],[Market_Median]]</f>
        <v>-2.8888888888888888E-2</v>
      </c>
      <c r="M60" t="str" cm="1">
        <f t="array" ref="M6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61" spans="1:13" x14ac:dyDescent="0.3">
      <c r="A61" s="1" t="s">
        <v>94</v>
      </c>
      <c r="B61" s="1" t="s">
        <v>22</v>
      </c>
      <c r="C61" s="1" t="s">
        <v>36</v>
      </c>
      <c r="D61" s="1" t="s">
        <v>32</v>
      </c>
      <c r="E61" s="1" t="s">
        <v>12</v>
      </c>
      <c r="F61">
        <v>2</v>
      </c>
      <c r="G61" s="2">
        <v>56100</v>
      </c>
      <c r="H61">
        <v>3</v>
      </c>
      <c r="I61" s="2">
        <f>_xlfn.XLOOKUP(employee_data[[#This Row],[Job_Title]],market_benchmarks[Job_Title],market_benchmarks[Market_Median],"Not Found")</f>
        <v>68000</v>
      </c>
      <c r="J61" s="3">
        <f>employee_data[[#This Row],[Current_Salary]]/employee_data[[#This Row],[Market_Median]]</f>
        <v>0.82499999999999996</v>
      </c>
      <c r="K61" s="2">
        <f>employee_data[[#This Row],[Current_Salary]]-employee_data[[#This Row],[Market_Median]]</f>
        <v>-11900</v>
      </c>
      <c r="L61" s="3">
        <f>(employee_data[[#This Row],[Current_Salary]]-employee_data[[#This Row],[Market_Median]])/employee_data[[#This Row],[Market_Median]]</f>
        <v>-0.17499999999999999</v>
      </c>
      <c r="M61" t="str" cm="1">
        <f t="array" ref="M6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62" spans="1:13" x14ac:dyDescent="0.3">
      <c r="A62" s="1" t="s">
        <v>95</v>
      </c>
      <c r="B62" s="1" t="s">
        <v>38</v>
      </c>
      <c r="C62" s="1" t="s">
        <v>96</v>
      </c>
      <c r="D62" s="1" t="s">
        <v>16</v>
      </c>
      <c r="E62" s="1" t="s">
        <v>12</v>
      </c>
      <c r="F62">
        <v>1</v>
      </c>
      <c r="G62" s="2">
        <v>74600</v>
      </c>
      <c r="H62">
        <v>3</v>
      </c>
      <c r="I62" s="2">
        <f>_xlfn.XLOOKUP(employee_data[[#This Row],[Job_Title]],market_benchmarks[Job_Title],market_benchmarks[Market_Median],"Not Found")</f>
        <v>88000</v>
      </c>
      <c r="J62" s="3">
        <f>employee_data[[#This Row],[Current_Salary]]/employee_data[[#This Row],[Market_Median]]</f>
        <v>0.84772727272727277</v>
      </c>
      <c r="K62" s="2">
        <f>employee_data[[#This Row],[Current_Salary]]-employee_data[[#This Row],[Market_Median]]</f>
        <v>-13400</v>
      </c>
      <c r="L62" s="3">
        <f>(employee_data[[#This Row],[Current_Salary]]-employee_data[[#This Row],[Market_Median]])/employee_data[[#This Row],[Market_Median]]</f>
        <v>-0.15227272727272728</v>
      </c>
      <c r="M62" t="str" cm="1">
        <f t="array" ref="M6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63" spans="1:13" x14ac:dyDescent="0.3">
      <c r="A63" s="1" t="s">
        <v>97</v>
      </c>
      <c r="B63" s="1" t="s">
        <v>30</v>
      </c>
      <c r="C63" s="1" t="s">
        <v>53</v>
      </c>
      <c r="D63" s="1" t="s">
        <v>11</v>
      </c>
      <c r="E63" s="1" t="s">
        <v>12</v>
      </c>
      <c r="F63">
        <v>10</v>
      </c>
      <c r="G63" s="2">
        <v>39900</v>
      </c>
      <c r="H63">
        <v>4</v>
      </c>
      <c r="I63" s="2">
        <f>_xlfn.XLOOKUP(employee_data[[#This Row],[Job_Title]],market_benchmarks[Job_Title],market_benchmarks[Market_Median],"Not Found")</f>
        <v>48000</v>
      </c>
      <c r="J63" s="3">
        <f>employee_data[[#This Row],[Current_Salary]]/employee_data[[#This Row],[Market_Median]]</f>
        <v>0.83125000000000004</v>
      </c>
      <c r="K63" s="2">
        <f>employee_data[[#This Row],[Current_Salary]]-employee_data[[#This Row],[Market_Median]]</f>
        <v>-8100</v>
      </c>
      <c r="L63" s="3">
        <f>(employee_data[[#This Row],[Current_Salary]]-employee_data[[#This Row],[Market_Median]])/employee_data[[#This Row],[Market_Median]]</f>
        <v>-0.16875000000000001</v>
      </c>
      <c r="M63" t="str" cm="1">
        <f t="array" ref="M6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64" spans="1:13" x14ac:dyDescent="0.3">
      <c r="A64" s="1" t="s">
        <v>98</v>
      </c>
      <c r="B64" s="1" t="s">
        <v>18</v>
      </c>
      <c r="C64" s="1" t="s">
        <v>43</v>
      </c>
      <c r="D64" s="1" t="s">
        <v>32</v>
      </c>
      <c r="E64" s="1" t="s">
        <v>12</v>
      </c>
      <c r="F64">
        <v>2</v>
      </c>
      <c r="G64" s="2">
        <v>63100</v>
      </c>
      <c r="H64">
        <v>3</v>
      </c>
      <c r="I64" s="2">
        <f>_xlfn.XLOOKUP(employee_data[[#This Row],[Job_Title]],market_benchmarks[Job_Title],market_benchmarks[Market_Median],"Not Found")</f>
        <v>72000</v>
      </c>
      <c r="J64" s="3">
        <f>employee_data[[#This Row],[Current_Salary]]/employee_data[[#This Row],[Market_Median]]</f>
        <v>0.87638888888888888</v>
      </c>
      <c r="K64" s="2">
        <f>employee_data[[#This Row],[Current_Salary]]-employee_data[[#This Row],[Market_Median]]</f>
        <v>-8900</v>
      </c>
      <c r="L64" s="3">
        <f>(employee_data[[#This Row],[Current_Salary]]-employee_data[[#This Row],[Market_Median]])/employee_data[[#This Row],[Market_Median]]</f>
        <v>-0.12361111111111112</v>
      </c>
      <c r="M64" t="str" cm="1">
        <f t="array" ref="M6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65" spans="1:13" x14ac:dyDescent="0.3">
      <c r="A65" s="1" t="s">
        <v>99</v>
      </c>
      <c r="B65" s="1" t="s">
        <v>30</v>
      </c>
      <c r="C65" s="1" t="s">
        <v>53</v>
      </c>
      <c r="D65" s="1" t="s">
        <v>11</v>
      </c>
      <c r="E65" s="1" t="s">
        <v>12</v>
      </c>
      <c r="F65">
        <v>19</v>
      </c>
      <c r="G65" s="2">
        <v>46500</v>
      </c>
      <c r="H65">
        <v>3</v>
      </c>
      <c r="I65" s="2">
        <f>_xlfn.XLOOKUP(employee_data[[#This Row],[Job_Title]],market_benchmarks[Job_Title],market_benchmarks[Market_Median],"Not Found")</f>
        <v>48000</v>
      </c>
      <c r="J65" s="3">
        <f>employee_data[[#This Row],[Current_Salary]]/employee_data[[#This Row],[Market_Median]]</f>
        <v>0.96875</v>
      </c>
      <c r="K65" s="2">
        <f>employee_data[[#This Row],[Current_Salary]]-employee_data[[#This Row],[Market_Median]]</f>
        <v>-1500</v>
      </c>
      <c r="L65" s="3">
        <f>(employee_data[[#This Row],[Current_Salary]]-employee_data[[#This Row],[Market_Median]])/employee_data[[#This Row],[Market_Median]]</f>
        <v>-3.125E-2</v>
      </c>
      <c r="M65" t="str" cm="1">
        <f t="array" ref="M6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66" spans="1:13" x14ac:dyDescent="0.3">
      <c r="A66" s="1" t="s">
        <v>100</v>
      </c>
      <c r="B66" s="1" t="s">
        <v>22</v>
      </c>
      <c r="C66" s="1" t="s">
        <v>36</v>
      </c>
      <c r="D66" s="1" t="s">
        <v>32</v>
      </c>
      <c r="E66" s="1" t="s">
        <v>12</v>
      </c>
      <c r="F66">
        <v>11</v>
      </c>
      <c r="G66" s="2">
        <v>65100</v>
      </c>
      <c r="H66">
        <v>4</v>
      </c>
      <c r="I66" s="2">
        <f>_xlfn.XLOOKUP(employee_data[[#This Row],[Job_Title]],market_benchmarks[Job_Title],market_benchmarks[Market_Median],"Not Found")</f>
        <v>68000</v>
      </c>
      <c r="J66" s="3">
        <f>employee_data[[#This Row],[Current_Salary]]/employee_data[[#This Row],[Market_Median]]</f>
        <v>0.95735294117647063</v>
      </c>
      <c r="K66" s="2">
        <f>employee_data[[#This Row],[Current_Salary]]-employee_data[[#This Row],[Market_Median]]</f>
        <v>-2900</v>
      </c>
      <c r="L66" s="3">
        <f>(employee_data[[#This Row],[Current_Salary]]-employee_data[[#This Row],[Market_Median]])/employee_data[[#This Row],[Market_Median]]</f>
        <v>-4.2647058823529413E-2</v>
      </c>
      <c r="M66" t="str" cm="1">
        <f t="array" ref="M6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67" spans="1:13" x14ac:dyDescent="0.3">
      <c r="A67" s="1" t="s">
        <v>101</v>
      </c>
      <c r="B67" s="1" t="s">
        <v>22</v>
      </c>
      <c r="C67" s="1" t="s">
        <v>41</v>
      </c>
      <c r="D67" s="1" t="s">
        <v>16</v>
      </c>
      <c r="E67" s="1" t="s">
        <v>12</v>
      </c>
      <c r="F67">
        <v>16</v>
      </c>
      <c r="G67" s="2">
        <v>77300</v>
      </c>
      <c r="H67">
        <v>1</v>
      </c>
      <c r="I67" s="2">
        <f>_xlfn.XLOOKUP(employee_data[[#This Row],[Job_Title]],market_benchmarks[Job_Title],market_benchmarks[Market_Median],"Not Found")</f>
        <v>85000</v>
      </c>
      <c r="J67" s="3">
        <f>employee_data[[#This Row],[Current_Salary]]/employee_data[[#This Row],[Market_Median]]</f>
        <v>0.90941176470588236</v>
      </c>
      <c r="K67" s="2">
        <f>employee_data[[#This Row],[Current_Salary]]-employee_data[[#This Row],[Market_Median]]</f>
        <v>-7700</v>
      </c>
      <c r="L67" s="3">
        <f>(employee_data[[#This Row],[Current_Salary]]-employee_data[[#This Row],[Market_Median]])/employee_data[[#This Row],[Market_Median]]</f>
        <v>-9.058823529411765E-2</v>
      </c>
      <c r="M67" t="str" cm="1">
        <f t="array" ref="M6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68" spans="1:13" x14ac:dyDescent="0.3">
      <c r="A68" s="1" t="s">
        <v>102</v>
      </c>
      <c r="B68" s="1" t="s">
        <v>22</v>
      </c>
      <c r="C68" s="1" t="s">
        <v>41</v>
      </c>
      <c r="D68" s="1" t="s">
        <v>16</v>
      </c>
      <c r="E68" s="1" t="s">
        <v>12</v>
      </c>
      <c r="F68">
        <v>10</v>
      </c>
      <c r="G68" s="2">
        <v>94000</v>
      </c>
      <c r="H68">
        <v>2</v>
      </c>
      <c r="I68" s="2">
        <f>_xlfn.XLOOKUP(employee_data[[#This Row],[Job_Title]],market_benchmarks[Job_Title],market_benchmarks[Market_Median],"Not Found")</f>
        <v>85000</v>
      </c>
      <c r="J68" s="3">
        <f>employee_data[[#This Row],[Current_Salary]]/employee_data[[#This Row],[Market_Median]]</f>
        <v>1.1058823529411765</v>
      </c>
      <c r="K68" s="2">
        <f>employee_data[[#This Row],[Current_Salary]]-employee_data[[#This Row],[Market_Median]]</f>
        <v>9000</v>
      </c>
      <c r="L68" s="3">
        <f>(employee_data[[#This Row],[Current_Salary]]-employee_data[[#This Row],[Market_Median]])/employee_data[[#This Row],[Market_Median]]</f>
        <v>0.10588235294117647</v>
      </c>
      <c r="M68" t="str" cm="1">
        <f t="array" ref="M6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69" spans="1:13" x14ac:dyDescent="0.3">
      <c r="A69" s="1" t="s">
        <v>103</v>
      </c>
      <c r="B69" s="1" t="s">
        <v>9</v>
      </c>
      <c r="C69" s="1" t="s">
        <v>10</v>
      </c>
      <c r="D69" s="1" t="s">
        <v>11</v>
      </c>
      <c r="E69" s="1" t="s">
        <v>12</v>
      </c>
      <c r="F69">
        <v>6</v>
      </c>
      <c r="G69" s="2">
        <v>55800</v>
      </c>
      <c r="H69">
        <v>2</v>
      </c>
      <c r="I69" s="2">
        <f>_xlfn.XLOOKUP(employee_data[[#This Row],[Job_Title]],market_benchmarks[Job_Title],market_benchmarks[Market_Median],"Not Found")</f>
        <v>58000</v>
      </c>
      <c r="J69" s="3">
        <f>employee_data[[#This Row],[Current_Salary]]/employee_data[[#This Row],[Market_Median]]</f>
        <v>0.96206896551724141</v>
      </c>
      <c r="K69" s="2">
        <f>employee_data[[#This Row],[Current_Salary]]-employee_data[[#This Row],[Market_Median]]</f>
        <v>-2200</v>
      </c>
      <c r="L69" s="3">
        <f>(employee_data[[#This Row],[Current_Salary]]-employee_data[[#This Row],[Market_Median]])/employee_data[[#This Row],[Market_Median]]</f>
        <v>-3.793103448275862E-2</v>
      </c>
      <c r="M69" t="str" cm="1">
        <f t="array" ref="M6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70" spans="1:13" x14ac:dyDescent="0.3">
      <c r="A70" s="1" t="s">
        <v>104</v>
      </c>
      <c r="B70" s="1" t="s">
        <v>18</v>
      </c>
      <c r="C70" s="1" t="s">
        <v>43</v>
      </c>
      <c r="D70" s="1" t="s">
        <v>32</v>
      </c>
      <c r="E70" s="1" t="s">
        <v>12</v>
      </c>
      <c r="F70">
        <v>14</v>
      </c>
      <c r="G70" s="2">
        <v>67600</v>
      </c>
      <c r="H70">
        <v>4</v>
      </c>
      <c r="I70" s="2">
        <f>_xlfn.XLOOKUP(employee_data[[#This Row],[Job_Title]],market_benchmarks[Job_Title],market_benchmarks[Market_Median],"Not Found")</f>
        <v>72000</v>
      </c>
      <c r="J70" s="3">
        <f>employee_data[[#This Row],[Current_Salary]]/employee_data[[#This Row],[Market_Median]]</f>
        <v>0.93888888888888888</v>
      </c>
      <c r="K70" s="2">
        <f>employee_data[[#This Row],[Current_Salary]]-employee_data[[#This Row],[Market_Median]]</f>
        <v>-4400</v>
      </c>
      <c r="L70" s="3">
        <f>(employee_data[[#This Row],[Current_Salary]]-employee_data[[#This Row],[Market_Median]])/employee_data[[#This Row],[Market_Median]]</f>
        <v>-6.1111111111111109E-2</v>
      </c>
      <c r="M70" t="str" cm="1">
        <f t="array" ref="M7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1" spans="1:13" x14ac:dyDescent="0.3">
      <c r="A71" s="1" t="s">
        <v>105</v>
      </c>
      <c r="B71" s="1" t="s">
        <v>14</v>
      </c>
      <c r="C71" s="1" t="s">
        <v>65</v>
      </c>
      <c r="D71" s="1" t="s">
        <v>32</v>
      </c>
      <c r="E71" s="1" t="s">
        <v>12</v>
      </c>
      <c r="F71">
        <v>4</v>
      </c>
      <c r="G71" s="2">
        <v>61300</v>
      </c>
      <c r="H71">
        <v>3</v>
      </c>
      <c r="I71" s="2">
        <f>_xlfn.XLOOKUP(employee_data[[#This Row],[Job_Title]],market_benchmarks[Job_Title],market_benchmarks[Market_Median],"Not Found")</f>
        <v>68000</v>
      </c>
      <c r="J71" s="3">
        <f>employee_data[[#This Row],[Current_Salary]]/employee_data[[#This Row],[Market_Median]]</f>
        <v>0.90147058823529413</v>
      </c>
      <c r="K71" s="2">
        <f>employee_data[[#This Row],[Current_Salary]]-employee_data[[#This Row],[Market_Median]]</f>
        <v>-6700</v>
      </c>
      <c r="L71" s="3">
        <f>(employee_data[[#This Row],[Current_Salary]]-employee_data[[#This Row],[Market_Median]])/employee_data[[#This Row],[Market_Median]]</f>
        <v>-9.8529411764705879E-2</v>
      </c>
      <c r="M71" t="str" cm="1">
        <f t="array" ref="M7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2" spans="1:13" x14ac:dyDescent="0.3">
      <c r="A72" s="1" t="s">
        <v>106</v>
      </c>
      <c r="B72" s="1" t="s">
        <v>22</v>
      </c>
      <c r="C72" s="1" t="s">
        <v>41</v>
      </c>
      <c r="D72" s="1" t="s">
        <v>16</v>
      </c>
      <c r="E72" s="1" t="s">
        <v>12</v>
      </c>
      <c r="F72">
        <v>8</v>
      </c>
      <c r="G72" s="2">
        <v>67600</v>
      </c>
      <c r="H72">
        <v>4</v>
      </c>
      <c r="I72" s="2">
        <f>_xlfn.XLOOKUP(employee_data[[#This Row],[Job_Title]],market_benchmarks[Job_Title],market_benchmarks[Market_Median],"Not Found")</f>
        <v>85000</v>
      </c>
      <c r="J72" s="3">
        <f>employee_data[[#This Row],[Current_Salary]]/employee_data[[#This Row],[Market_Median]]</f>
        <v>0.79529411764705882</v>
      </c>
      <c r="K72" s="2">
        <f>employee_data[[#This Row],[Current_Salary]]-employee_data[[#This Row],[Market_Median]]</f>
        <v>-17400</v>
      </c>
      <c r="L72" s="3">
        <f>(employee_data[[#This Row],[Current_Salary]]-employee_data[[#This Row],[Market_Median]])/employee_data[[#This Row],[Market_Median]]</f>
        <v>-0.20470588235294118</v>
      </c>
      <c r="M72" t="str" cm="1">
        <f t="array" ref="M7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73" spans="1:13" x14ac:dyDescent="0.3">
      <c r="A73" s="1" t="s">
        <v>107</v>
      </c>
      <c r="B73" s="1" t="s">
        <v>22</v>
      </c>
      <c r="C73" s="1" t="s">
        <v>23</v>
      </c>
      <c r="D73" s="1" t="s">
        <v>11</v>
      </c>
      <c r="E73" s="1" t="s">
        <v>12</v>
      </c>
      <c r="F73">
        <v>7</v>
      </c>
      <c r="G73" s="2">
        <v>45800</v>
      </c>
      <c r="H73">
        <v>5</v>
      </c>
      <c r="I73" s="2">
        <f>_xlfn.XLOOKUP(employee_data[[#This Row],[Job_Title]],market_benchmarks[Job_Title],market_benchmarks[Market_Median],"Not Found")</f>
        <v>50000</v>
      </c>
      <c r="J73" s="3">
        <f>employee_data[[#This Row],[Current_Salary]]/employee_data[[#This Row],[Market_Median]]</f>
        <v>0.91600000000000004</v>
      </c>
      <c r="K73" s="2">
        <f>employee_data[[#This Row],[Current_Salary]]-employee_data[[#This Row],[Market_Median]]</f>
        <v>-4200</v>
      </c>
      <c r="L73" s="3">
        <f>(employee_data[[#This Row],[Current_Salary]]-employee_data[[#This Row],[Market_Median]])/employee_data[[#This Row],[Market_Median]]</f>
        <v>-8.4000000000000005E-2</v>
      </c>
      <c r="M73" t="str" cm="1">
        <f t="array" ref="M7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4" spans="1:13" x14ac:dyDescent="0.3">
      <c r="A74" s="1" t="s">
        <v>108</v>
      </c>
      <c r="B74" s="1" t="s">
        <v>30</v>
      </c>
      <c r="C74" s="1" t="s">
        <v>53</v>
      </c>
      <c r="D74" s="1" t="s">
        <v>11</v>
      </c>
      <c r="E74" s="1" t="s">
        <v>12</v>
      </c>
      <c r="F74">
        <v>6</v>
      </c>
      <c r="G74" s="2">
        <v>53500</v>
      </c>
      <c r="H74">
        <v>4</v>
      </c>
      <c r="I74" s="2">
        <f>_xlfn.XLOOKUP(employee_data[[#This Row],[Job_Title]],market_benchmarks[Job_Title],market_benchmarks[Market_Median],"Not Found")</f>
        <v>48000</v>
      </c>
      <c r="J74" s="3">
        <f>employee_data[[#This Row],[Current_Salary]]/employee_data[[#This Row],[Market_Median]]</f>
        <v>1.1145833333333333</v>
      </c>
      <c r="K74" s="2">
        <f>employee_data[[#This Row],[Current_Salary]]-employee_data[[#This Row],[Market_Median]]</f>
        <v>5500</v>
      </c>
      <c r="L74" s="3">
        <f>(employee_data[[#This Row],[Current_Salary]]-employee_data[[#This Row],[Market_Median]])/employee_data[[#This Row],[Market_Median]]</f>
        <v>0.11458333333333333</v>
      </c>
      <c r="M74" t="str" cm="1">
        <f t="array" ref="M7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75" spans="1:13" x14ac:dyDescent="0.3">
      <c r="A75" s="1" t="s">
        <v>109</v>
      </c>
      <c r="B75" s="1" t="s">
        <v>14</v>
      </c>
      <c r="C75" s="1" t="s">
        <v>65</v>
      </c>
      <c r="D75" s="1" t="s">
        <v>32</v>
      </c>
      <c r="E75" s="1" t="s">
        <v>12</v>
      </c>
      <c r="F75">
        <v>15</v>
      </c>
      <c r="G75" s="2">
        <v>61500</v>
      </c>
      <c r="H75">
        <v>3</v>
      </c>
      <c r="I75" s="2">
        <f>_xlfn.XLOOKUP(employee_data[[#This Row],[Job_Title]],market_benchmarks[Job_Title],market_benchmarks[Market_Median],"Not Found")</f>
        <v>68000</v>
      </c>
      <c r="J75" s="3">
        <f>employee_data[[#This Row],[Current_Salary]]/employee_data[[#This Row],[Market_Median]]</f>
        <v>0.90441176470588236</v>
      </c>
      <c r="K75" s="2">
        <f>employee_data[[#This Row],[Current_Salary]]-employee_data[[#This Row],[Market_Median]]</f>
        <v>-6500</v>
      </c>
      <c r="L75" s="3">
        <f>(employee_data[[#This Row],[Current_Salary]]-employee_data[[#This Row],[Market_Median]])/employee_data[[#This Row],[Market_Median]]</f>
        <v>-9.5588235294117641E-2</v>
      </c>
      <c r="M75" t="str" cm="1">
        <f t="array" ref="M7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6" spans="1:13" x14ac:dyDescent="0.3">
      <c r="A76" s="1" t="s">
        <v>110</v>
      </c>
      <c r="B76" s="1" t="s">
        <v>22</v>
      </c>
      <c r="C76" s="1" t="s">
        <v>23</v>
      </c>
      <c r="D76" s="1" t="s">
        <v>11</v>
      </c>
      <c r="E76" s="1" t="s">
        <v>12</v>
      </c>
      <c r="F76">
        <v>13</v>
      </c>
      <c r="G76" s="2">
        <v>46100</v>
      </c>
      <c r="H76">
        <v>2</v>
      </c>
      <c r="I76" s="2">
        <f>_xlfn.XLOOKUP(employee_data[[#This Row],[Job_Title]],market_benchmarks[Job_Title],market_benchmarks[Market_Median],"Not Found")</f>
        <v>50000</v>
      </c>
      <c r="J76" s="3">
        <f>employee_data[[#This Row],[Current_Salary]]/employee_data[[#This Row],[Market_Median]]</f>
        <v>0.92200000000000004</v>
      </c>
      <c r="K76" s="2">
        <f>employee_data[[#This Row],[Current_Salary]]-employee_data[[#This Row],[Market_Median]]</f>
        <v>-3900</v>
      </c>
      <c r="L76" s="3">
        <f>(employee_data[[#This Row],[Current_Salary]]-employee_data[[#This Row],[Market_Median]])/employee_data[[#This Row],[Market_Median]]</f>
        <v>-7.8E-2</v>
      </c>
      <c r="M76" t="str" cm="1">
        <f t="array" ref="M7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7" spans="1:13" x14ac:dyDescent="0.3">
      <c r="A77" s="1" t="s">
        <v>111</v>
      </c>
      <c r="B77" s="1" t="s">
        <v>22</v>
      </c>
      <c r="C77" s="1" t="s">
        <v>23</v>
      </c>
      <c r="D77" s="1" t="s">
        <v>11</v>
      </c>
      <c r="E77" s="1" t="s">
        <v>12</v>
      </c>
      <c r="F77">
        <v>11</v>
      </c>
      <c r="G77" s="2">
        <v>44500</v>
      </c>
      <c r="H77">
        <v>1</v>
      </c>
      <c r="I77" s="2">
        <f>_xlfn.XLOOKUP(employee_data[[#This Row],[Job_Title]],market_benchmarks[Job_Title],market_benchmarks[Market_Median],"Not Found")</f>
        <v>50000</v>
      </c>
      <c r="J77" s="3">
        <f>employee_data[[#This Row],[Current_Salary]]/employee_data[[#This Row],[Market_Median]]</f>
        <v>0.89</v>
      </c>
      <c r="K77" s="2">
        <f>employee_data[[#This Row],[Current_Salary]]-employee_data[[#This Row],[Market_Median]]</f>
        <v>-5500</v>
      </c>
      <c r="L77" s="3">
        <f>(employee_data[[#This Row],[Current_Salary]]-employee_data[[#This Row],[Market_Median]])/employee_data[[#This Row],[Market_Median]]</f>
        <v>-0.11</v>
      </c>
      <c r="M77" t="str" cm="1">
        <f t="array" ref="M7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78" spans="1:13" x14ac:dyDescent="0.3">
      <c r="A78" s="1" t="s">
        <v>112</v>
      </c>
      <c r="B78" s="1" t="s">
        <v>38</v>
      </c>
      <c r="C78" s="1" t="s">
        <v>55</v>
      </c>
      <c r="D78" s="1" t="s">
        <v>11</v>
      </c>
      <c r="E78" s="1" t="s">
        <v>12</v>
      </c>
      <c r="F78">
        <v>6</v>
      </c>
      <c r="G78" s="2">
        <v>60400</v>
      </c>
      <c r="H78">
        <v>3</v>
      </c>
      <c r="I78" s="2">
        <f>_xlfn.XLOOKUP(employee_data[[#This Row],[Job_Title]],market_benchmarks[Job_Title],market_benchmarks[Market_Median],"Not Found")</f>
        <v>52000</v>
      </c>
      <c r="J78" s="3">
        <f>employee_data[[#This Row],[Current_Salary]]/employee_data[[#This Row],[Market_Median]]</f>
        <v>1.1615384615384616</v>
      </c>
      <c r="K78" s="2">
        <f>employee_data[[#This Row],[Current_Salary]]-employee_data[[#This Row],[Market_Median]]</f>
        <v>8400</v>
      </c>
      <c r="L78" s="3">
        <f>(employee_data[[#This Row],[Current_Salary]]-employee_data[[#This Row],[Market_Median]])/employee_data[[#This Row],[Market_Median]]</f>
        <v>0.16153846153846155</v>
      </c>
      <c r="M78" t="str" cm="1">
        <f t="array" ref="M7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79" spans="1:13" x14ac:dyDescent="0.3">
      <c r="A79" s="1" t="s">
        <v>113</v>
      </c>
      <c r="B79" s="1" t="s">
        <v>38</v>
      </c>
      <c r="C79" s="1" t="s">
        <v>39</v>
      </c>
      <c r="D79" s="1" t="s">
        <v>32</v>
      </c>
      <c r="E79" s="1" t="s">
        <v>12</v>
      </c>
      <c r="F79">
        <v>4</v>
      </c>
      <c r="G79" s="2">
        <v>63000</v>
      </c>
      <c r="H79">
        <v>4</v>
      </c>
      <c r="I79" s="2">
        <f>_xlfn.XLOOKUP(employee_data[[#This Row],[Job_Title]],market_benchmarks[Job_Title],market_benchmarks[Market_Median],"Not Found")</f>
        <v>70000</v>
      </c>
      <c r="J79" s="3">
        <f>employee_data[[#This Row],[Current_Salary]]/employee_data[[#This Row],[Market_Median]]</f>
        <v>0.9</v>
      </c>
      <c r="K79" s="2">
        <f>employee_data[[#This Row],[Current_Salary]]-employee_data[[#This Row],[Market_Median]]</f>
        <v>-7000</v>
      </c>
      <c r="L79" s="3">
        <f>(employee_data[[#This Row],[Current_Salary]]-employee_data[[#This Row],[Market_Median]])/employee_data[[#This Row],[Market_Median]]</f>
        <v>-0.1</v>
      </c>
      <c r="M79" t="str" cm="1">
        <f t="array" ref="M7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80" spans="1:13" x14ac:dyDescent="0.3">
      <c r="A80" s="1" t="s">
        <v>114</v>
      </c>
      <c r="B80" s="1" t="s">
        <v>9</v>
      </c>
      <c r="C80" s="1" t="s">
        <v>25</v>
      </c>
      <c r="D80" s="1" t="s">
        <v>16</v>
      </c>
      <c r="E80" s="1" t="s">
        <v>12</v>
      </c>
      <c r="F80">
        <v>9</v>
      </c>
      <c r="G80" s="2">
        <v>104500</v>
      </c>
      <c r="H80">
        <v>3</v>
      </c>
      <c r="I80" s="2">
        <f>_xlfn.XLOOKUP(employee_data[[#This Row],[Job_Title]],market_benchmarks[Job_Title],market_benchmarks[Market_Median],"Not Found")</f>
        <v>98000</v>
      </c>
      <c r="J80" s="3">
        <f>employee_data[[#This Row],[Current_Salary]]/employee_data[[#This Row],[Market_Median]]</f>
        <v>1.0663265306122449</v>
      </c>
      <c r="K80" s="2">
        <f>employee_data[[#This Row],[Current_Salary]]-employee_data[[#This Row],[Market_Median]]</f>
        <v>6500</v>
      </c>
      <c r="L80" s="3">
        <f>(employee_data[[#This Row],[Current_Salary]]-employee_data[[#This Row],[Market_Median]])/employee_data[[#This Row],[Market_Median]]</f>
        <v>6.6326530612244902E-2</v>
      </c>
      <c r="M80" t="str" cm="1">
        <f t="array" ref="M8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81" spans="1:13" x14ac:dyDescent="0.3">
      <c r="A81" s="1" t="s">
        <v>115</v>
      </c>
      <c r="B81" s="1" t="s">
        <v>18</v>
      </c>
      <c r="C81" s="1" t="s">
        <v>28</v>
      </c>
      <c r="D81" s="1" t="s">
        <v>11</v>
      </c>
      <c r="E81" s="1" t="s">
        <v>12</v>
      </c>
      <c r="F81">
        <v>3</v>
      </c>
      <c r="G81" s="2">
        <v>49500</v>
      </c>
      <c r="H81">
        <v>3</v>
      </c>
      <c r="I81" s="2">
        <f>_xlfn.XLOOKUP(employee_data[[#This Row],[Job_Title]],market_benchmarks[Job_Title],market_benchmarks[Market_Median],"Not Found")</f>
        <v>52000</v>
      </c>
      <c r="J81" s="3">
        <f>employee_data[[#This Row],[Current_Salary]]/employee_data[[#This Row],[Market_Median]]</f>
        <v>0.95192307692307687</v>
      </c>
      <c r="K81" s="2">
        <f>employee_data[[#This Row],[Current_Salary]]-employee_data[[#This Row],[Market_Median]]</f>
        <v>-2500</v>
      </c>
      <c r="L81" s="3">
        <f>(employee_data[[#This Row],[Current_Salary]]-employee_data[[#This Row],[Market_Median]])/employee_data[[#This Row],[Market_Median]]</f>
        <v>-4.807692307692308E-2</v>
      </c>
      <c r="M81" t="str" cm="1">
        <f t="array" ref="M8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82" spans="1:13" x14ac:dyDescent="0.3">
      <c r="A82" s="1" t="s">
        <v>116</v>
      </c>
      <c r="B82" s="1" t="s">
        <v>38</v>
      </c>
      <c r="C82" s="1" t="s">
        <v>55</v>
      </c>
      <c r="D82" s="1" t="s">
        <v>11</v>
      </c>
      <c r="E82" s="1" t="s">
        <v>12</v>
      </c>
      <c r="F82">
        <v>19</v>
      </c>
      <c r="G82" s="2">
        <v>57600</v>
      </c>
      <c r="H82">
        <v>3</v>
      </c>
      <c r="I82" s="2">
        <f>_xlfn.XLOOKUP(employee_data[[#This Row],[Job_Title]],market_benchmarks[Job_Title],market_benchmarks[Market_Median],"Not Found")</f>
        <v>52000</v>
      </c>
      <c r="J82" s="3">
        <f>employee_data[[#This Row],[Current_Salary]]/employee_data[[#This Row],[Market_Median]]</f>
        <v>1.1076923076923078</v>
      </c>
      <c r="K82" s="2">
        <f>employee_data[[#This Row],[Current_Salary]]-employee_data[[#This Row],[Market_Median]]</f>
        <v>5600</v>
      </c>
      <c r="L82" s="3">
        <f>(employee_data[[#This Row],[Current_Salary]]-employee_data[[#This Row],[Market_Median]])/employee_data[[#This Row],[Market_Median]]</f>
        <v>0.1076923076923077</v>
      </c>
      <c r="M82" t="str" cm="1">
        <f t="array" ref="M8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83" spans="1:13" x14ac:dyDescent="0.3">
      <c r="A83" s="1" t="s">
        <v>117</v>
      </c>
      <c r="B83" s="1" t="s">
        <v>30</v>
      </c>
      <c r="C83" s="1" t="s">
        <v>53</v>
      </c>
      <c r="D83" s="1" t="s">
        <v>11</v>
      </c>
      <c r="E83" s="1" t="s">
        <v>12</v>
      </c>
      <c r="F83">
        <v>18</v>
      </c>
      <c r="G83" s="2">
        <v>39700</v>
      </c>
      <c r="H83">
        <v>4</v>
      </c>
      <c r="I83" s="2">
        <f>_xlfn.XLOOKUP(employee_data[[#This Row],[Job_Title]],market_benchmarks[Job_Title],market_benchmarks[Market_Median],"Not Found")</f>
        <v>48000</v>
      </c>
      <c r="J83" s="3">
        <f>employee_data[[#This Row],[Current_Salary]]/employee_data[[#This Row],[Market_Median]]</f>
        <v>0.82708333333333328</v>
      </c>
      <c r="K83" s="2">
        <f>employee_data[[#This Row],[Current_Salary]]-employee_data[[#This Row],[Market_Median]]</f>
        <v>-8300</v>
      </c>
      <c r="L83" s="3">
        <f>(employee_data[[#This Row],[Current_Salary]]-employee_data[[#This Row],[Market_Median]])/employee_data[[#This Row],[Market_Median]]</f>
        <v>-0.17291666666666666</v>
      </c>
      <c r="M83" t="str" cm="1">
        <f t="array" ref="M8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84" spans="1:13" x14ac:dyDescent="0.3">
      <c r="A84" s="1" t="s">
        <v>118</v>
      </c>
      <c r="B84" s="1" t="s">
        <v>9</v>
      </c>
      <c r="C84" s="1" t="s">
        <v>25</v>
      </c>
      <c r="D84" s="1" t="s">
        <v>16</v>
      </c>
      <c r="E84" s="1" t="s">
        <v>12</v>
      </c>
      <c r="F84">
        <v>0</v>
      </c>
      <c r="G84" s="2">
        <v>88300</v>
      </c>
      <c r="H84">
        <v>5</v>
      </c>
      <c r="I84" s="2">
        <f>_xlfn.XLOOKUP(employee_data[[#This Row],[Job_Title]],market_benchmarks[Job_Title],market_benchmarks[Market_Median],"Not Found")</f>
        <v>98000</v>
      </c>
      <c r="J84" s="3">
        <f>employee_data[[#This Row],[Current_Salary]]/employee_data[[#This Row],[Market_Median]]</f>
        <v>0.90102040816326534</v>
      </c>
      <c r="K84" s="2">
        <f>employee_data[[#This Row],[Current_Salary]]-employee_data[[#This Row],[Market_Median]]</f>
        <v>-9700</v>
      </c>
      <c r="L84" s="3">
        <f>(employee_data[[#This Row],[Current_Salary]]-employee_data[[#This Row],[Market_Median]])/employee_data[[#This Row],[Market_Median]]</f>
        <v>-9.8979591836734687E-2</v>
      </c>
      <c r="M84" t="str" cm="1">
        <f t="array" ref="M8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85" spans="1:13" x14ac:dyDescent="0.3">
      <c r="A85" s="1" t="s">
        <v>119</v>
      </c>
      <c r="B85" s="1" t="s">
        <v>18</v>
      </c>
      <c r="C85" s="1" t="s">
        <v>43</v>
      </c>
      <c r="D85" s="1" t="s">
        <v>32</v>
      </c>
      <c r="E85" s="1" t="s">
        <v>12</v>
      </c>
      <c r="F85">
        <v>9</v>
      </c>
      <c r="G85" s="2">
        <v>69900</v>
      </c>
      <c r="H85">
        <v>1</v>
      </c>
      <c r="I85" s="2">
        <f>_xlfn.XLOOKUP(employee_data[[#This Row],[Job_Title]],market_benchmarks[Job_Title],market_benchmarks[Market_Median],"Not Found")</f>
        <v>72000</v>
      </c>
      <c r="J85" s="3">
        <f>employee_data[[#This Row],[Current_Salary]]/employee_data[[#This Row],[Market_Median]]</f>
        <v>0.97083333333333333</v>
      </c>
      <c r="K85" s="2">
        <f>employee_data[[#This Row],[Current_Salary]]-employee_data[[#This Row],[Market_Median]]</f>
        <v>-2100</v>
      </c>
      <c r="L85" s="3">
        <f>(employee_data[[#This Row],[Current_Salary]]-employee_data[[#This Row],[Market_Median]])/employee_data[[#This Row],[Market_Median]]</f>
        <v>-2.9166666666666667E-2</v>
      </c>
      <c r="M85" t="str" cm="1">
        <f t="array" ref="M8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86" spans="1:13" x14ac:dyDescent="0.3">
      <c r="A86" s="1" t="s">
        <v>120</v>
      </c>
      <c r="B86" s="1" t="s">
        <v>38</v>
      </c>
      <c r="C86" s="1" t="s">
        <v>96</v>
      </c>
      <c r="D86" s="1" t="s">
        <v>16</v>
      </c>
      <c r="E86" s="1" t="s">
        <v>12</v>
      </c>
      <c r="F86">
        <v>8</v>
      </c>
      <c r="G86" s="2">
        <v>74400</v>
      </c>
      <c r="H86">
        <v>3</v>
      </c>
      <c r="I86" s="2">
        <f>_xlfn.XLOOKUP(employee_data[[#This Row],[Job_Title]],market_benchmarks[Job_Title],market_benchmarks[Market_Median],"Not Found")</f>
        <v>88000</v>
      </c>
      <c r="J86" s="3">
        <f>employee_data[[#This Row],[Current_Salary]]/employee_data[[#This Row],[Market_Median]]</f>
        <v>0.84545454545454546</v>
      </c>
      <c r="K86" s="2">
        <f>employee_data[[#This Row],[Current_Salary]]-employee_data[[#This Row],[Market_Median]]</f>
        <v>-13600</v>
      </c>
      <c r="L86" s="3">
        <f>(employee_data[[#This Row],[Current_Salary]]-employee_data[[#This Row],[Market_Median]])/employee_data[[#This Row],[Market_Median]]</f>
        <v>-0.15454545454545454</v>
      </c>
      <c r="M86" t="str" cm="1">
        <f t="array" ref="M8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87" spans="1:13" x14ac:dyDescent="0.3">
      <c r="A87" s="1" t="s">
        <v>121</v>
      </c>
      <c r="B87" s="1" t="s">
        <v>14</v>
      </c>
      <c r="C87" s="1" t="s">
        <v>48</v>
      </c>
      <c r="D87" s="1" t="s">
        <v>11</v>
      </c>
      <c r="E87" s="1" t="s">
        <v>12</v>
      </c>
      <c r="F87">
        <v>3</v>
      </c>
      <c r="G87" s="2">
        <v>54100</v>
      </c>
      <c r="H87">
        <v>3</v>
      </c>
      <c r="I87" s="2">
        <f>_xlfn.XLOOKUP(employee_data[[#This Row],[Job_Title]],market_benchmarks[Job_Title],market_benchmarks[Market_Median],"Not Found")</f>
        <v>50000</v>
      </c>
      <c r="J87" s="3">
        <f>employee_data[[#This Row],[Current_Salary]]/employee_data[[#This Row],[Market_Median]]</f>
        <v>1.0820000000000001</v>
      </c>
      <c r="K87" s="2">
        <f>employee_data[[#This Row],[Current_Salary]]-employee_data[[#This Row],[Market_Median]]</f>
        <v>4100</v>
      </c>
      <c r="L87" s="3">
        <f>(employee_data[[#This Row],[Current_Salary]]-employee_data[[#This Row],[Market_Median]])/employee_data[[#This Row],[Market_Median]]</f>
        <v>8.2000000000000003E-2</v>
      </c>
      <c r="M87" t="str" cm="1">
        <f t="array" ref="M8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88" spans="1:13" x14ac:dyDescent="0.3">
      <c r="A88" s="1" t="s">
        <v>122</v>
      </c>
      <c r="B88" s="1" t="s">
        <v>18</v>
      </c>
      <c r="C88" s="1" t="s">
        <v>28</v>
      </c>
      <c r="D88" s="1" t="s">
        <v>11</v>
      </c>
      <c r="E88" s="1" t="s">
        <v>12</v>
      </c>
      <c r="F88">
        <v>3</v>
      </c>
      <c r="G88" s="2">
        <v>53300</v>
      </c>
      <c r="H88">
        <v>3</v>
      </c>
      <c r="I88" s="2">
        <f>_xlfn.XLOOKUP(employee_data[[#This Row],[Job_Title]],market_benchmarks[Job_Title],market_benchmarks[Market_Median],"Not Found")</f>
        <v>52000</v>
      </c>
      <c r="J88" s="3">
        <f>employee_data[[#This Row],[Current_Salary]]/employee_data[[#This Row],[Market_Median]]</f>
        <v>1.0249999999999999</v>
      </c>
      <c r="K88" s="2">
        <f>employee_data[[#This Row],[Current_Salary]]-employee_data[[#This Row],[Market_Median]]</f>
        <v>1300</v>
      </c>
      <c r="L88" s="3">
        <f>(employee_data[[#This Row],[Current_Salary]]-employee_data[[#This Row],[Market_Median]])/employee_data[[#This Row],[Market_Median]]</f>
        <v>2.5000000000000001E-2</v>
      </c>
      <c r="M88" t="str" cm="1">
        <f t="array" ref="M8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89" spans="1:13" x14ac:dyDescent="0.3">
      <c r="A89" s="1" t="s">
        <v>123</v>
      </c>
      <c r="B89" s="1" t="s">
        <v>30</v>
      </c>
      <c r="C89" s="1" t="s">
        <v>76</v>
      </c>
      <c r="D89" s="1" t="s">
        <v>16</v>
      </c>
      <c r="E89" s="1" t="s">
        <v>12</v>
      </c>
      <c r="F89">
        <v>15</v>
      </c>
      <c r="G89" s="2">
        <v>72800</v>
      </c>
      <c r="H89">
        <v>2</v>
      </c>
      <c r="I89" s="2">
        <f>_xlfn.XLOOKUP(employee_data[[#This Row],[Job_Title]],market_benchmarks[Job_Title],market_benchmarks[Market_Median],"Not Found")</f>
        <v>72000</v>
      </c>
      <c r="J89" s="3">
        <f>employee_data[[#This Row],[Current_Salary]]/employee_data[[#This Row],[Market_Median]]</f>
        <v>1.0111111111111111</v>
      </c>
      <c r="K89" s="2">
        <f>employee_data[[#This Row],[Current_Salary]]-employee_data[[#This Row],[Market_Median]]</f>
        <v>800</v>
      </c>
      <c r="L89" s="3">
        <f>(employee_data[[#This Row],[Current_Salary]]-employee_data[[#This Row],[Market_Median]])/employee_data[[#This Row],[Market_Median]]</f>
        <v>1.1111111111111112E-2</v>
      </c>
      <c r="M89" t="str" cm="1">
        <f t="array" ref="M8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0" spans="1:13" x14ac:dyDescent="0.3">
      <c r="A90" s="1" t="s">
        <v>124</v>
      </c>
      <c r="B90" s="1" t="s">
        <v>30</v>
      </c>
      <c r="C90" s="1" t="s">
        <v>76</v>
      </c>
      <c r="D90" s="1" t="s">
        <v>16</v>
      </c>
      <c r="E90" s="1" t="s">
        <v>12</v>
      </c>
      <c r="F90">
        <v>4</v>
      </c>
      <c r="G90" s="2">
        <v>76600</v>
      </c>
      <c r="H90">
        <v>3</v>
      </c>
      <c r="I90" s="2">
        <f>_xlfn.XLOOKUP(employee_data[[#This Row],[Job_Title]],market_benchmarks[Job_Title],market_benchmarks[Market_Median],"Not Found")</f>
        <v>72000</v>
      </c>
      <c r="J90" s="3">
        <f>employee_data[[#This Row],[Current_Salary]]/employee_data[[#This Row],[Market_Median]]</f>
        <v>1.0638888888888889</v>
      </c>
      <c r="K90" s="2">
        <f>employee_data[[#This Row],[Current_Salary]]-employee_data[[#This Row],[Market_Median]]</f>
        <v>4600</v>
      </c>
      <c r="L90" s="3">
        <f>(employee_data[[#This Row],[Current_Salary]]-employee_data[[#This Row],[Market_Median]])/employee_data[[#This Row],[Market_Median]]</f>
        <v>6.3888888888888884E-2</v>
      </c>
      <c r="M90" t="str" cm="1">
        <f t="array" ref="M9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91" spans="1:13" x14ac:dyDescent="0.3">
      <c r="A91" s="1" t="s">
        <v>125</v>
      </c>
      <c r="B91" s="1" t="s">
        <v>14</v>
      </c>
      <c r="C91" s="1" t="s">
        <v>48</v>
      </c>
      <c r="D91" s="1" t="s">
        <v>11</v>
      </c>
      <c r="E91" s="1" t="s">
        <v>12</v>
      </c>
      <c r="F91">
        <v>16</v>
      </c>
      <c r="G91" s="2">
        <v>51800</v>
      </c>
      <c r="H91">
        <v>3</v>
      </c>
      <c r="I91" s="2">
        <f>_xlfn.XLOOKUP(employee_data[[#This Row],[Job_Title]],market_benchmarks[Job_Title],market_benchmarks[Market_Median],"Not Found")</f>
        <v>50000</v>
      </c>
      <c r="J91" s="3">
        <f>employee_data[[#This Row],[Current_Salary]]/employee_data[[#This Row],[Market_Median]]</f>
        <v>1.036</v>
      </c>
      <c r="K91" s="2">
        <f>employee_data[[#This Row],[Current_Salary]]-employee_data[[#This Row],[Market_Median]]</f>
        <v>1800</v>
      </c>
      <c r="L91" s="3">
        <f>(employee_data[[#This Row],[Current_Salary]]-employee_data[[#This Row],[Market_Median]])/employee_data[[#This Row],[Market_Median]]</f>
        <v>3.5999999999999997E-2</v>
      </c>
      <c r="M91" t="str" cm="1">
        <f t="array" ref="M9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2" spans="1:13" x14ac:dyDescent="0.3">
      <c r="A92" s="1" t="s">
        <v>126</v>
      </c>
      <c r="B92" s="1" t="s">
        <v>9</v>
      </c>
      <c r="C92" s="1" t="s">
        <v>10</v>
      </c>
      <c r="D92" s="1" t="s">
        <v>11</v>
      </c>
      <c r="E92" s="1" t="s">
        <v>12</v>
      </c>
      <c r="F92">
        <v>12</v>
      </c>
      <c r="G92" s="2">
        <v>57000</v>
      </c>
      <c r="H92">
        <v>4</v>
      </c>
      <c r="I92" s="2">
        <f>_xlfn.XLOOKUP(employee_data[[#This Row],[Job_Title]],market_benchmarks[Job_Title],market_benchmarks[Market_Median],"Not Found")</f>
        <v>58000</v>
      </c>
      <c r="J92" s="3">
        <f>employee_data[[#This Row],[Current_Salary]]/employee_data[[#This Row],[Market_Median]]</f>
        <v>0.98275862068965514</v>
      </c>
      <c r="K92" s="2">
        <f>employee_data[[#This Row],[Current_Salary]]-employee_data[[#This Row],[Market_Median]]</f>
        <v>-1000</v>
      </c>
      <c r="L92" s="3">
        <f>(employee_data[[#This Row],[Current_Salary]]-employee_data[[#This Row],[Market_Median]])/employee_data[[#This Row],[Market_Median]]</f>
        <v>-1.7241379310344827E-2</v>
      </c>
      <c r="M92" t="str" cm="1">
        <f t="array" ref="M9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3" spans="1:13" x14ac:dyDescent="0.3">
      <c r="A93" s="1" t="s">
        <v>127</v>
      </c>
      <c r="B93" s="1" t="s">
        <v>9</v>
      </c>
      <c r="C93" s="1" t="s">
        <v>25</v>
      </c>
      <c r="D93" s="1" t="s">
        <v>16</v>
      </c>
      <c r="E93" s="1" t="s">
        <v>12</v>
      </c>
      <c r="F93">
        <v>14</v>
      </c>
      <c r="G93" s="2">
        <v>91800</v>
      </c>
      <c r="H93">
        <v>2</v>
      </c>
      <c r="I93" s="2">
        <f>_xlfn.XLOOKUP(employee_data[[#This Row],[Job_Title]],market_benchmarks[Job_Title],market_benchmarks[Market_Median],"Not Found")</f>
        <v>98000</v>
      </c>
      <c r="J93" s="3">
        <f>employee_data[[#This Row],[Current_Salary]]/employee_data[[#This Row],[Market_Median]]</f>
        <v>0.93673469387755104</v>
      </c>
      <c r="K93" s="2">
        <f>employee_data[[#This Row],[Current_Salary]]-employee_data[[#This Row],[Market_Median]]</f>
        <v>-6200</v>
      </c>
      <c r="L93" s="3">
        <f>(employee_data[[#This Row],[Current_Salary]]-employee_data[[#This Row],[Market_Median]])/employee_data[[#This Row],[Market_Median]]</f>
        <v>-6.3265306122448975E-2</v>
      </c>
      <c r="M93" t="str" cm="1">
        <f t="array" ref="M9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94" spans="1:13" x14ac:dyDescent="0.3">
      <c r="A94" s="1" t="s">
        <v>128</v>
      </c>
      <c r="B94" s="1" t="s">
        <v>18</v>
      </c>
      <c r="C94" s="1" t="s">
        <v>19</v>
      </c>
      <c r="D94" s="1" t="s">
        <v>16</v>
      </c>
      <c r="E94" s="1" t="s">
        <v>12</v>
      </c>
      <c r="F94">
        <v>11</v>
      </c>
      <c r="G94" s="2">
        <v>95900</v>
      </c>
      <c r="H94">
        <v>3</v>
      </c>
      <c r="I94" s="2">
        <f>_xlfn.XLOOKUP(employee_data[[#This Row],[Job_Title]],market_benchmarks[Job_Title],market_benchmarks[Market_Median],"Not Found")</f>
        <v>90000</v>
      </c>
      <c r="J94" s="3">
        <f>employee_data[[#This Row],[Current_Salary]]/employee_data[[#This Row],[Market_Median]]</f>
        <v>1.0655555555555556</v>
      </c>
      <c r="K94" s="2">
        <f>employee_data[[#This Row],[Current_Salary]]-employee_data[[#This Row],[Market_Median]]</f>
        <v>5900</v>
      </c>
      <c r="L94" s="3">
        <f>(employee_data[[#This Row],[Current_Salary]]-employee_data[[#This Row],[Market_Median]])/employee_data[[#This Row],[Market_Median]]</f>
        <v>6.5555555555555561E-2</v>
      </c>
      <c r="M94" t="str" cm="1">
        <f t="array" ref="M9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95" spans="1:13" x14ac:dyDescent="0.3">
      <c r="A95" s="1" t="s">
        <v>129</v>
      </c>
      <c r="B95" s="1" t="s">
        <v>30</v>
      </c>
      <c r="C95" s="1" t="s">
        <v>76</v>
      </c>
      <c r="D95" s="1" t="s">
        <v>16</v>
      </c>
      <c r="E95" s="1" t="s">
        <v>12</v>
      </c>
      <c r="F95">
        <v>12</v>
      </c>
      <c r="G95" s="2">
        <v>74100</v>
      </c>
      <c r="H95">
        <v>5</v>
      </c>
      <c r="I95" s="2">
        <f>_xlfn.XLOOKUP(employee_data[[#This Row],[Job_Title]],market_benchmarks[Job_Title],market_benchmarks[Market_Median],"Not Found")</f>
        <v>72000</v>
      </c>
      <c r="J95" s="3">
        <f>employee_data[[#This Row],[Current_Salary]]/employee_data[[#This Row],[Market_Median]]</f>
        <v>1.0291666666666666</v>
      </c>
      <c r="K95" s="2">
        <f>employee_data[[#This Row],[Current_Salary]]-employee_data[[#This Row],[Market_Median]]</f>
        <v>2100</v>
      </c>
      <c r="L95" s="3">
        <f>(employee_data[[#This Row],[Current_Salary]]-employee_data[[#This Row],[Market_Median]])/employee_data[[#This Row],[Market_Median]]</f>
        <v>2.9166666666666667E-2</v>
      </c>
      <c r="M95" t="str" cm="1">
        <f t="array" ref="M9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6" spans="1:13" x14ac:dyDescent="0.3">
      <c r="A96" s="1" t="s">
        <v>130</v>
      </c>
      <c r="B96" s="1" t="s">
        <v>38</v>
      </c>
      <c r="C96" s="1" t="s">
        <v>96</v>
      </c>
      <c r="D96" s="1" t="s">
        <v>16</v>
      </c>
      <c r="E96" s="1" t="s">
        <v>12</v>
      </c>
      <c r="F96">
        <v>13</v>
      </c>
      <c r="G96" s="2">
        <v>92200</v>
      </c>
      <c r="H96">
        <v>3</v>
      </c>
      <c r="I96" s="2">
        <f>_xlfn.XLOOKUP(employee_data[[#This Row],[Job_Title]],market_benchmarks[Job_Title],market_benchmarks[Market_Median],"Not Found")</f>
        <v>88000</v>
      </c>
      <c r="J96" s="3">
        <f>employee_data[[#This Row],[Current_Salary]]/employee_data[[#This Row],[Market_Median]]</f>
        <v>1.0477272727272726</v>
      </c>
      <c r="K96" s="2">
        <f>employee_data[[#This Row],[Current_Salary]]-employee_data[[#This Row],[Market_Median]]</f>
        <v>4200</v>
      </c>
      <c r="L96" s="3">
        <f>(employee_data[[#This Row],[Current_Salary]]-employee_data[[#This Row],[Market_Median]])/employee_data[[#This Row],[Market_Median]]</f>
        <v>4.7727272727272729E-2</v>
      </c>
      <c r="M96" t="str" cm="1">
        <f t="array" ref="M9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97" spans="1:13" x14ac:dyDescent="0.3">
      <c r="A97" s="1" t="s">
        <v>131</v>
      </c>
      <c r="B97" s="1" t="s">
        <v>14</v>
      </c>
      <c r="C97" s="1" t="s">
        <v>15</v>
      </c>
      <c r="D97" s="1" t="s">
        <v>16</v>
      </c>
      <c r="E97" s="1" t="s">
        <v>12</v>
      </c>
      <c r="F97">
        <v>17</v>
      </c>
      <c r="G97" s="2">
        <v>76700</v>
      </c>
      <c r="H97">
        <v>5</v>
      </c>
      <c r="I97" s="2">
        <f>_xlfn.XLOOKUP(employee_data[[#This Row],[Job_Title]],market_benchmarks[Job_Title],market_benchmarks[Market_Median],"Not Found")</f>
        <v>82000</v>
      </c>
      <c r="J97" s="3">
        <f>employee_data[[#This Row],[Current_Salary]]/employee_data[[#This Row],[Market_Median]]</f>
        <v>0.93536585365853664</v>
      </c>
      <c r="K97" s="2">
        <f>employee_data[[#This Row],[Current_Salary]]-employee_data[[#This Row],[Market_Median]]</f>
        <v>-5300</v>
      </c>
      <c r="L97" s="3">
        <f>(employee_data[[#This Row],[Current_Salary]]-employee_data[[#This Row],[Market_Median]])/employee_data[[#This Row],[Market_Median]]</f>
        <v>-6.4634146341463417E-2</v>
      </c>
      <c r="M97" t="str" cm="1">
        <f t="array" ref="M9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98" spans="1:13" x14ac:dyDescent="0.3">
      <c r="A98" s="1" t="s">
        <v>132</v>
      </c>
      <c r="B98" s="1" t="s">
        <v>30</v>
      </c>
      <c r="C98" s="1" t="s">
        <v>31</v>
      </c>
      <c r="D98" s="1" t="s">
        <v>32</v>
      </c>
      <c r="E98" s="1" t="s">
        <v>12</v>
      </c>
      <c r="F98">
        <v>11</v>
      </c>
      <c r="G98" s="2">
        <v>53600</v>
      </c>
      <c r="H98">
        <v>4</v>
      </c>
      <c r="I98" s="2">
        <f>_xlfn.XLOOKUP(employee_data[[#This Row],[Job_Title]],market_benchmarks[Job_Title],market_benchmarks[Market_Median],"Not Found")</f>
        <v>58000</v>
      </c>
      <c r="J98" s="3">
        <f>employee_data[[#This Row],[Current_Salary]]/employee_data[[#This Row],[Market_Median]]</f>
        <v>0.92413793103448272</v>
      </c>
      <c r="K98" s="2">
        <f>employee_data[[#This Row],[Current_Salary]]-employee_data[[#This Row],[Market_Median]]</f>
        <v>-4400</v>
      </c>
      <c r="L98" s="3">
        <f>(employee_data[[#This Row],[Current_Salary]]-employee_data[[#This Row],[Market_Median]])/employee_data[[#This Row],[Market_Median]]</f>
        <v>-7.586206896551724E-2</v>
      </c>
      <c r="M98" t="str" cm="1">
        <f t="array" ref="M9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99" spans="1:13" x14ac:dyDescent="0.3">
      <c r="A99" s="1" t="s">
        <v>133</v>
      </c>
      <c r="B99" s="1" t="s">
        <v>38</v>
      </c>
      <c r="C99" s="1" t="s">
        <v>55</v>
      </c>
      <c r="D99" s="1" t="s">
        <v>11</v>
      </c>
      <c r="E99" s="1" t="s">
        <v>12</v>
      </c>
      <c r="F99">
        <v>17</v>
      </c>
      <c r="G99" s="2">
        <v>55600</v>
      </c>
      <c r="H99">
        <v>4</v>
      </c>
      <c r="I99" s="2">
        <f>_xlfn.XLOOKUP(employee_data[[#This Row],[Job_Title]],market_benchmarks[Job_Title],market_benchmarks[Market_Median],"Not Found")</f>
        <v>52000</v>
      </c>
      <c r="J99" s="3">
        <f>employee_data[[#This Row],[Current_Salary]]/employee_data[[#This Row],[Market_Median]]</f>
        <v>1.0692307692307692</v>
      </c>
      <c r="K99" s="2">
        <f>employee_data[[#This Row],[Current_Salary]]-employee_data[[#This Row],[Market_Median]]</f>
        <v>3600</v>
      </c>
      <c r="L99" s="3">
        <f>(employee_data[[#This Row],[Current_Salary]]-employee_data[[#This Row],[Market_Median]])/employee_data[[#This Row],[Market_Median]]</f>
        <v>6.9230769230769235E-2</v>
      </c>
      <c r="M99" t="str" cm="1">
        <f t="array" ref="M9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00" spans="1:13" x14ac:dyDescent="0.3">
      <c r="A100" s="1" t="s">
        <v>134</v>
      </c>
      <c r="B100" s="1" t="s">
        <v>38</v>
      </c>
      <c r="C100" s="1" t="s">
        <v>55</v>
      </c>
      <c r="D100" s="1" t="s">
        <v>11</v>
      </c>
      <c r="E100" s="1" t="s">
        <v>12</v>
      </c>
      <c r="F100">
        <v>4</v>
      </c>
      <c r="G100" s="2">
        <v>54900</v>
      </c>
      <c r="H100">
        <v>3</v>
      </c>
      <c r="I100" s="2">
        <f>_xlfn.XLOOKUP(employee_data[[#This Row],[Job_Title]],market_benchmarks[Job_Title],market_benchmarks[Market_Median],"Not Found")</f>
        <v>52000</v>
      </c>
      <c r="J100" s="3">
        <f>employee_data[[#This Row],[Current_Salary]]/employee_data[[#This Row],[Market_Median]]</f>
        <v>1.0557692307692308</v>
      </c>
      <c r="K100" s="2">
        <f>employee_data[[#This Row],[Current_Salary]]-employee_data[[#This Row],[Market_Median]]</f>
        <v>2900</v>
      </c>
      <c r="L100" s="3">
        <f>(employee_data[[#This Row],[Current_Salary]]-employee_data[[#This Row],[Market_Median]])/employee_data[[#This Row],[Market_Median]]</f>
        <v>5.5769230769230772E-2</v>
      </c>
      <c r="M100" t="str" cm="1">
        <f t="array" ref="M10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01" spans="1:13" x14ac:dyDescent="0.3">
      <c r="A101" s="1" t="s">
        <v>135</v>
      </c>
      <c r="B101" s="1" t="s">
        <v>22</v>
      </c>
      <c r="C101" s="1" t="s">
        <v>23</v>
      </c>
      <c r="D101" s="1" t="s">
        <v>11</v>
      </c>
      <c r="E101" s="1" t="s">
        <v>12</v>
      </c>
      <c r="F101">
        <v>6</v>
      </c>
      <c r="G101" s="2">
        <v>48700</v>
      </c>
      <c r="H101">
        <v>5</v>
      </c>
      <c r="I101" s="2">
        <f>_xlfn.XLOOKUP(employee_data[[#This Row],[Job_Title]],market_benchmarks[Job_Title],market_benchmarks[Market_Median],"Not Found")</f>
        <v>50000</v>
      </c>
      <c r="J101" s="3">
        <f>employee_data[[#This Row],[Current_Salary]]/employee_data[[#This Row],[Market_Median]]</f>
        <v>0.97399999999999998</v>
      </c>
      <c r="K101" s="2">
        <f>employee_data[[#This Row],[Current_Salary]]-employee_data[[#This Row],[Market_Median]]</f>
        <v>-1300</v>
      </c>
      <c r="L101" s="3">
        <f>(employee_data[[#This Row],[Current_Salary]]-employee_data[[#This Row],[Market_Median]])/employee_data[[#This Row],[Market_Median]]</f>
        <v>-2.5999999999999999E-2</v>
      </c>
      <c r="M101" t="str" cm="1">
        <f t="array" ref="M10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02" spans="1:13" x14ac:dyDescent="0.3">
      <c r="A102" s="1" t="s">
        <v>136</v>
      </c>
      <c r="B102" s="1" t="s">
        <v>9</v>
      </c>
      <c r="C102" s="1" t="s">
        <v>60</v>
      </c>
      <c r="D102" s="1" t="s">
        <v>32</v>
      </c>
      <c r="E102" s="1" t="s">
        <v>12</v>
      </c>
      <c r="F102">
        <v>18</v>
      </c>
      <c r="G102" s="2">
        <v>58200</v>
      </c>
      <c r="H102">
        <v>4</v>
      </c>
      <c r="I102" s="2">
        <f>_xlfn.XLOOKUP(employee_data[[#This Row],[Job_Title]],market_benchmarks[Job_Title],market_benchmarks[Market_Median],"Not Found")</f>
        <v>78000</v>
      </c>
      <c r="J102" s="3">
        <f>employee_data[[#This Row],[Current_Salary]]/employee_data[[#This Row],[Market_Median]]</f>
        <v>0.74615384615384617</v>
      </c>
      <c r="K102" s="2">
        <f>employee_data[[#This Row],[Current_Salary]]-employee_data[[#This Row],[Market_Median]]</f>
        <v>-19800</v>
      </c>
      <c r="L102" s="3">
        <f>(employee_data[[#This Row],[Current_Salary]]-employee_data[[#This Row],[Market_Median]])/employee_data[[#This Row],[Market_Median]]</f>
        <v>-0.25384615384615383</v>
      </c>
      <c r="M102" t="str" cm="1">
        <f t="array" ref="M10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03" spans="1:13" x14ac:dyDescent="0.3">
      <c r="A103" s="1" t="s">
        <v>137</v>
      </c>
      <c r="B103" s="1" t="s">
        <v>38</v>
      </c>
      <c r="C103" s="1" t="s">
        <v>96</v>
      </c>
      <c r="D103" s="1" t="s">
        <v>16</v>
      </c>
      <c r="E103" s="1" t="s">
        <v>12</v>
      </c>
      <c r="F103">
        <v>6</v>
      </c>
      <c r="G103" s="2">
        <v>97400</v>
      </c>
      <c r="H103">
        <v>3</v>
      </c>
      <c r="I103" s="2">
        <f>_xlfn.XLOOKUP(employee_data[[#This Row],[Job_Title]],market_benchmarks[Job_Title],market_benchmarks[Market_Median],"Not Found")</f>
        <v>88000</v>
      </c>
      <c r="J103" s="3">
        <f>employee_data[[#This Row],[Current_Salary]]/employee_data[[#This Row],[Market_Median]]</f>
        <v>1.1068181818181819</v>
      </c>
      <c r="K103" s="2">
        <f>employee_data[[#This Row],[Current_Salary]]-employee_data[[#This Row],[Market_Median]]</f>
        <v>9400</v>
      </c>
      <c r="L103" s="3">
        <f>(employee_data[[#This Row],[Current_Salary]]-employee_data[[#This Row],[Market_Median]])/employee_data[[#This Row],[Market_Median]]</f>
        <v>0.10681818181818181</v>
      </c>
      <c r="M103" t="str" cm="1">
        <f t="array" ref="M10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04" spans="1:13" x14ac:dyDescent="0.3">
      <c r="A104" s="1" t="s">
        <v>138</v>
      </c>
      <c r="B104" s="1" t="s">
        <v>18</v>
      </c>
      <c r="C104" s="1" t="s">
        <v>28</v>
      </c>
      <c r="D104" s="1" t="s">
        <v>11</v>
      </c>
      <c r="E104" s="1" t="s">
        <v>12</v>
      </c>
      <c r="F104">
        <v>17</v>
      </c>
      <c r="G104" s="2">
        <v>51100</v>
      </c>
      <c r="H104">
        <v>3</v>
      </c>
      <c r="I104" s="2">
        <f>_xlfn.XLOOKUP(employee_data[[#This Row],[Job_Title]],market_benchmarks[Job_Title],market_benchmarks[Market_Median],"Not Found")</f>
        <v>52000</v>
      </c>
      <c r="J104" s="3">
        <f>employee_data[[#This Row],[Current_Salary]]/employee_data[[#This Row],[Market_Median]]</f>
        <v>0.98269230769230764</v>
      </c>
      <c r="K104" s="2">
        <f>employee_data[[#This Row],[Current_Salary]]-employee_data[[#This Row],[Market_Median]]</f>
        <v>-900</v>
      </c>
      <c r="L104" s="3">
        <f>(employee_data[[#This Row],[Current_Salary]]-employee_data[[#This Row],[Market_Median]])/employee_data[[#This Row],[Market_Median]]</f>
        <v>-1.7307692307692309E-2</v>
      </c>
      <c r="M104" t="str" cm="1">
        <f t="array" ref="M10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05" spans="1:13" x14ac:dyDescent="0.3">
      <c r="A105" s="1" t="s">
        <v>139</v>
      </c>
      <c r="B105" s="1" t="s">
        <v>30</v>
      </c>
      <c r="C105" s="1" t="s">
        <v>76</v>
      </c>
      <c r="D105" s="1" t="s">
        <v>16</v>
      </c>
      <c r="E105" s="1" t="s">
        <v>12</v>
      </c>
      <c r="F105">
        <v>12</v>
      </c>
      <c r="G105" s="2">
        <v>62400</v>
      </c>
      <c r="H105">
        <v>3</v>
      </c>
      <c r="I105" s="2">
        <f>_xlfn.XLOOKUP(employee_data[[#This Row],[Job_Title]],market_benchmarks[Job_Title],market_benchmarks[Market_Median],"Not Found")</f>
        <v>72000</v>
      </c>
      <c r="J105" s="3">
        <f>employee_data[[#This Row],[Current_Salary]]/employee_data[[#This Row],[Market_Median]]</f>
        <v>0.8666666666666667</v>
      </c>
      <c r="K105" s="2">
        <f>employee_data[[#This Row],[Current_Salary]]-employee_data[[#This Row],[Market_Median]]</f>
        <v>-9600</v>
      </c>
      <c r="L105" s="3">
        <f>(employee_data[[#This Row],[Current_Salary]]-employee_data[[#This Row],[Market_Median]])/employee_data[[#This Row],[Market_Median]]</f>
        <v>-0.13333333333333333</v>
      </c>
      <c r="M105" t="str" cm="1">
        <f t="array" ref="M10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06" spans="1:13" x14ac:dyDescent="0.3">
      <c r="A106" s="1" t="s">
        <v>140</v>
      </c>
      <c r="B106" s="1" t="s">
        <v>30</v>
      </c>
      <c r="C106" s="1" t="s">
        <v>76</v>
      </c>
      <c r="D106" s="1" t="s">
        <v>16</v>
      </c>
      <c r="E106" s="1" t="s">
        <v>12</v>
      </c>
      <c r="F106">
        <v>16</v>
      </c>
      <c r="G106" s="2">
        <v>49900</v>
      </c>
      <c r="H106">
        <v>2</v>
      </c>
      <c r="I106" s="2">
        <f>_xlfn.XLOOKUP(employee_data[[#This Row],[Job_Title]],market_benchmarks[Job_Title],market_benchmarks[Market_Median],"Not Found")</f>
        <v>72000</v>
      </c>
      <c r="J106" s="3">
        <f>employee_data[[#This Row],[Current_Salary]]/employee_data[[#This Row],[Market_Median]]</f>
        <v>0.69305555555555554</v>
      </c>
      <c r="K106" s="2">
        <f>employee_data[[#This Row],[Current_Salary]]-employee_data[[#This Row],[Market_Median]]</f>
        <v>-22100</v>
      </c>
      <c r="L106" s="3">
        <f>(employee_data[[#This Row],[Current_Salary]]-employee_data[[#This Row],[Market_Median]])/employee_data[[#This Row],[Market_Median]]</f>
        <v>-0.30694444444444446</v>
      </c>
      <c r="M106" t="str" cm="1">
        <f t="array" ref="M10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07" spans="1:13" x14ac:dyDescent="0.3">
      <c r="A107" s="1" t="s">
        <v>141</v>
      </c>
      <c r="B107" s="1" t="s">
        <v>38</v>
      </c>
      <c r="C107" s="1" t="s">
        <v>55</v>
      </c>
      <c r="D107" s="1" t="s">
        <v>11</v>
      </c>
      <c r="E107" s="1" t="s">
        <v>12</v>
      </c>
      <c r="F107">
        <v>12</v>
      </c>
      <c r="G107" s="2">
        <v>55300</v>
      </c>
      <c r="H107">
        <v>1</v>
      </c>
      <c r="I107" s="2">
        <f>_xlfn.XLOOKUP(employee_data[[#This Row],[Job_Title]],market_benchmarks[Job_Title],market_benchmarks[Market_Median],"Not Found")</f>
        <v>52000</v>
      </c>
      <c r="J107" s="3">
        <f>employee_data[[#This Row],[Current_Salary]]/employee_data[[#This Row],[Market_Median]]</f>
        <v>1.0634615384615385</v>
      </c>
      <c r="K107" s="2">
        <f>employee_data[[#This Row],[Current_Salary]]-employee_data[[#This Row],[Market_Median]]</f>
        <v>3300</v>
      </c>
      <c r="L107" s="3">
        <f>(employee_data[[#This Row],[Current_Salary]]-employee_data[[#This Row],[Market_Median]])/employee_data[[#This Row],[Market_Median]]</f>
        <v>6.3461538461538458E-2</v>
      </c>
      <c r="M107" t="str" cm="1">
        <f t="array" ref="M10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08" spans="1:13" x14ac:dyDescent="0.3">
      <c r="A108" s="1" t="s">
        <v>142</v>
      </c>
      <c r="B108" s="1" t="s">
        <v>18</v>
      </c>
      <c r="C108" s="1" t="s">
        <v>43</v>
      </c>
      <c r="D108" s="1" t="s">
        <v>32</v>
      </c>
      <c r="E108" s="1" t="s">
        <v>12</v>
      </c>
      <c r="F108">
        <v>20</v>
      </c>
      <c r="G108" s="2">
        <v>69100</v>
      </c>
      <c r="H108">
        <v>5</v>
      </c>
      <c r="I108" s="2">
        <f>_xlfn.XLOOKUP(employee_data[[#This Row],[Job_Title]],market_benchmarks[Job_Title],market_benchmarks[Market_Median],"Not Found")</f>
        <v>72000</v>
      </c>
      <c r="J108" s="3">
        <f>employee_data[[#This Row],[Current_Salary]]/employee_data[[#This Row],[Market_Median]]</f>
        <v>0.95972222222222225</v>
      </c>
      <c r="K108" s="2">
        <f>employee_data[[#This Row],[Current_Salary]]-employee_data[[#This Row],[Market_Median]]</f>
        <v>-2900</v>
      </c>
      <c r="L108" s="3">
        <f>(employee_data[[#This Row],[Current_Salary]]-employee_data[[#This Row],[Market_Median]])/employee_data[[#This Row],[Market_Median]]</f>
        <v>-4.027777777777778E-2</v>
      </c>
      <c r="M108" t="str" cm="1">
        <f t="array" ref="M10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09" spans="1:13" x14ac:dyDescent="0.3">
      <c r="A109" s="1" t="s">
        <v>143</v>
      </c>
      <c r="B109" s="1" t="s">
        <v>9</v>
      </c>
      <c r="C109" s="1" t="s">
        <v>10</v>
      </c>
      <c r="D109" s="1" t="s">
        <v>11</v>
      </c>
      <c r="E109" s="1" t="s">
        <v>12</v>
      </c>
      <c r="F109">
        <v>17</v>
      </c>
      <c r="G109" s="2">
        <v>50600</v>
      </c>
      <c r="H109">
        <v>3</v>
      </c>
      <c r="I109" s="2">
        <f>_xlfn.XLOOKUP(employee_data[[#This Row],[Job_Title]],market_benchmarks[Job_Title],market_benchmarks[Market_Median],"Not Found")</f>
        <v>58000</v>
      </c>
      <c r="J109" s="3">
        <f>employee_data[[#This Row],[Current_Salary]]/employee_data[[#This Row],[Market_Median]]</f>
        <v>0.87241379310344824</v>
      </c>
      <c r="K109" s="2">
        <f>employee_data[[#This Row],[Current_Salary]]-employee_data[[#This Row],[Market_Median]]</f>
        <v>-7400</v>
      </c>
      <c r="L109" s="3">
        <f>(employee_data[[#This Row],[Current_Salary]]-employee_data[[#This Row],[Market_Median]])/employee_data[[#This Row],[Market_Median]]</f>
        <v>-0.12758620689655173</v>
      </c>
      <c r="M109" t="str" cm="1">
        <f t="array" ref="M10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10" spans="1:13" x14ac:dyDescent="0.3">
      <c r="A110" s="1" t="s">
        <v>144</v>
      </c>
      <c r="B110" s="1" t="s">
        <v>30</v>
      </c>
      <c r="C110" s="1" t="s">
        <v>31</v>
      </c>
      <c r="D110" s="1" t="s">
        <v>32</v>
      </c>
      <c r="E110" s="1" t="s">
        <v>12</v>
      </c>
      <c r="F110">
        <v>14</v>
      </c>
      <c r="G110" s="2">
        <v>62100</v>
      </c>
      <c r="H110">
        <v>3</v>
      </c>
      <c r="I110" s="2">
        <f>_xlfn.XLOOKUP(employee_data[[#This Row],[Job_Title]],market_benchmarks[Job_Title],market_benchmarks[Market_Median],"Not Found")</f>
        <v>58000</v>
      </c>
      <c r="J110" s="3">
        <f>employee_data[[#This Row],[Current_Salary]]/employee_data[[#This Row],[Market_Median]]</f>
        <v>1.0706896551724139</v>
      </c>
      <c r="K110" s="2">
        <f>employee_data[[#This Row],[Current_Salary]]-employee_data[[#This Row],[Market_Median]]</f>
        <v>4100</v>
      </c>
      <c r="L110" s="3">
        <f>(employee_data[[#This Row],[Current_Salary]]-employee_data[[#This Row],[Market_Median]])/employee_data[[#This Row],[Market_Median]]</f>
        <v>7.0689655172413796E-2</v>
      </c>
      <c r="M110" t="str" cm="1">
        <f t="array" ref="M11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11" spans="1:13" x14ac:dyDescent="0.3">
      <c r="A111" s="1" t="s">
        <v>145</v>
      </c>
      <c r="B111" s="1" t="s">
        <v>30</v>
      </c>
      <c r="C111" s="1" t="s">
        <v>76</v>
      </c>
      <c r="D111" s="1" t="s">
        <v>16</v>
      </c>
      <c r="E111" s="1" t="s">
        <v>12</v>
      </c>
      <c r="F111">
        <v>11</v>
      </c>
      <c r="G111" s="2">
        <v>81500</v>
      </c>
      <c r="H111">
        <v>5</v>
      </c>
      <c r="I111" s="2">
        <f>_xlfn.XLOOKUP(employee_data[[#This Row],[Job_Title]],market_benchmarks[Job_Title],market_benchmarks[Market_Median],"Not Found")</f>
        <v>72000</v>
      </c>
      <c r="J111" s="3">
        <f>employee_data[[#This Row],[Current_Salary]]/employee_data[[#This Row],[Market_Median]]</f>
        <v>1.1319444444444444</v>
      </c>
      <c r="K111" s="2">
        <f>employee_data[[#This Row],[Current_Salary]]-employee_data[[#This Row],[Market_Median]]</f>
        <v>9500</v>
      </c>
      <c r="L111" s="3">
        <f>(employee_data[[#This Row],[Current_Salary]]-employee_data[[#This Row],[Market_Median]])/employee_data[[#This Row],[Market_Median]]</f>
        <v>0.13194444444444445</v>
      </c>
      <c r="M111" t="str" cm="1">
        <f t="array" ref="M11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12" spans="1:13" x14ac:dyDescent="0.3">
      <c r="A112" s="1" t="s">
        <v>146</v>
      </c>
      <c r="B112" s="1" t="s">
        <v>22</v>
      </c>
      <c r="C112" s="1" t="s">
        <v>23</v>
      </c>
      <c r="D112" s="1" t="s">
        <v>11</v>
      </c>
      <c r="E112" s="1" t="s">
        <v>12</v>
      </c>
      <c r="F112">
        <v>7</v>
      </c>
      <c r="G112" s="2">
        <v>41500</v>
      </c>
      <c r="H112">
        <v>3</v>
      </c>
      <c r="I112" s="2">
        <f>_xlfn.XLOOKUP(employee_data[[#This Row],[Job_Title]],market_benchmarks[Job_Title],market_benchmarks[Market_Median],"Not Found")</f>
        <v>50000</v>
      </c>
      <c r="J112" s="3">
        <f>employee_data[[#This Row],[Current_Salary]]/employee_data[[#This Row],[Market_Median]]</f>
        <v>0.83</v>
      </c>
      <c r="K112" s="2">
        <f>employee_data[[#This Row],[Current_Salary]]-employee_data[[#This Row],[Market_Median]]</f>
        <v>-8500</v>
      </c>
      <c r="L112" s="3">
        <f>(employee_data[[#This Row],[Current_Salary]]-employee_data[[#This Row],[Market_Median]])/employee_data[[#This Row],[Market_Median]]</f>
        <v>-0.17</v>
      </c>
      <c r="M112" t="str" cm="1">
        <f t="array" ref="M11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13" spans="1:13" x14ac:dyDescent="0.3">
      <c r="A113" s="1" t="s">
        <v>147</v>
      </c>
      <c r="B113" s="1" t="s">
        <v>9</v>
      </c>
      <c r="C113" s="1" t="s">
        <v>60</v>
      </c>
      <c r="D113" s="1" t="s">
        <v>32</v>
      </c>
      <c r="E113" s="1" t="s">
        <v>12</v>
      </c>
      <c r="F113">
        <v>4</v>
      </c>
      <c r="G113" s="2">
        <v>86500</v>
      </c>
      <c r="H113">
        <v>5</v>
      </c>
      <c r="I113" s="2">
        <f>_xlfn.XLOOKUP(employee_data[[#This Row],[Job_Title]],market_benchmarks[Job_Title],market_benchmarks[Market_Median],"Not Found")</f>
        <v>78000</v>
      </c>
      <c r="J113" s="3">
        <f>employee_data[[#This Row],[Current_Salary]]/employee_data[[#This Row],[Market_Median]]</f>
        <v>1.108974358974359</v>
      </c>
      <c r="K113" s="2">
        <f>employee_data[[#This Row],[Current_Salary]]-employee_data[[#This Row],[Market_Median]]</f>
        <v>8500</v>
      </c>
      <c r="L113" s="3">
        <f>(employee_data[[#This Row],[Current_Salary]]-employee_data[[#This Row],[Market_Median]])/employee_data[[#This Row],[Market_Median]]</f>
        <v>0.10897435897435898</v>
      </c>
      <c r="M113" t="str" cm="1">
        <f t="array" ref="M11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14" spans="1:13" x14ac:dyDescent="0.3">
      <c r="A114" s="1" t="s">
        <v>148</v>
      </c>
      <c r="B114" s="1" t="s">
        <v>14</v>
      </c>
      <c r="C114" s="1" t="s">
        <v>65</v>
      </c>
      <c r="D114" s="1" t="s">
        <v>32</v>
      </c>
      <c r="E114" s="1" t="s">
        <v>12</v>
      </c>
      <c r="F114">
        <v>16</v>
      </c>
      <c r="G114" s="2">
        <v>76300</v>
      </c>
      <c r="H114">
        <v>3</v>
      </c>
      <c r="I114" s="2">
        <f>_xlfn.XLOOKUP(employee_data[[#This Row],[Job_Title]],market_benchmarks[Job_Title],market_benchmarks[Market_Median],"Not Found")</f>
        <v>68000</v>
      </c>
      <c r="J114" s="3">
        <f>employee_data[[#This Row],[Current_Salary]]/employee_data[[#This Row],[Market_Median]]</f>
        <v>1.1220588235294118</v>
      </c>
      <c r="K114" s="2">
        <f>employee_data[[#This Row],[Current_Salary]]-employee_data[[#This Row],[Market_Median]]</f>
        <v>8300</v>
      </c>
      <c r="L114" s="3">
        <f>(employee_data[[#This Row],[Current_Salary]]-employee_data[[#This Row],[Market_Median]])/employee_data[[#This Row],[Market_Median]]</f>
        <v>0.12205882352941176</v>
      </c>
      <c r="M114" t="str" cm="1">
        <f t="array" ref="M11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15" spans="1:13" x14ac:dyDescent="0.3">
      <c r="A115" s="1" t="s">
        <v>149</v>
      </c>
      <c r="B115" s="1" t="s">
        <v>18</v>
      </c>
      <c r="C115" s="1" t="s">
        <v>28</v>
      </c>
      <c r="D115" s="1" t="s">
        <v>11</v>
      </c>
      <c r="E115" s="1" t="s">
        <v>12</v>
      </c>
      <c r="F115">
        <v>13</v>
      </c>
      <c r="G115" s="2">
        <v>41600</v>
      </c>
      <c r="H115">
        <v>2</v>
      </c>
      <c r="I115" s="2">
        <f>_xlfn.XLOOKUP(employee_data[[#This Row],[Job_Title]],market_benchmarks[Job_Title],market_benchmarks[Market_Median],"Not Found")</f>
        <v>52000</v>
      </c>
      <c r="J115" s="3">
        <f>employee_data[[#This Row],[Current_Salary]]/employee_data[[#This Row],[Market_Median]]</f>
        <v>0.8</v>
      </c>
      <c r="K115" s="2">
        <f>employee_data[[#This Row],[Current_Salary]]-employee_data[[#This Row],[Market_Median]]</f>
        <v>-10400</v>
      </c>
      <c r="L115" s="3">
        <f>(employee_data[[#This Row],[Current_Salary]]-employee_data[[#This Row],[Market_Median]])/employee_data[[#This Row],[Market_Median]]</f>
        <v>-0.2</v>
      </c>
      <c r="M115" t="str" cm="1">
        <f t="array" ref="M11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16" spans="1:13" x14ac:dyDescent="0.3">
      <c r="A116" s="1" t="s">
        <v>150</v>
      </c>
      <c r="B116" s="1" t="s">
        <v>22</v>
      </c>
      <c r="C116" s="1" t="s">
        <v>36</v>
      </c>
      <c r="D116" s="1" t="s">
        <v>32</v>
      </c>
      <c r="E116" s="1" t="s">
        <v>12</v>
      </c>
      <c r="F116">
        <v>18</v>
      </c>
      <c r="G116" s="2">
        <v>55600</v>
      </c>
      <c r="H116">
        <v>4</v>
      </c>
      <c r="I116" s="2">
        <f>_xlfn.XLOOKUP(employee_data[[#This Row],[Job_Title]],market_benchmarks[Job_Title],market_benchmarks[Market_Median],"Not Found")</f>
        <v>68000</v>
      </c>
      <c r="J116" s="3">
        <f>employee_data[[#This Row],[Current_Salary]]/employee_data[[#This Row],[Market_Median]]</f>
        <v>0.81764705882352939</v>
      </c>
      <c r="K116" s="2">
        <f>employee_data[[#This Row],[Current_Salary]]-employee_data[[#This Row],[Market_Median]]</f>
        <v>-12400</v>
      </c>
      <c r="L116" s="3">
        <f>(employee_data[[#This Row],[Current_Salary]]-employee_data[[#This Row],[Market_Median]])/employee_data[[#This Row],[Market_Median]]</f>
        <v>-0.18235294117647058</v>
      </c>
      <c r="M116" t="str" cm="1">
        <f t="array" ref="M11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17" spans="1:13" x14ac:dyDescent="0.3">
      <c r="A117" s="1" t="s">
        <v>151</v>
      </c>
      <c r="B117" s="1" t="s">
        <v>22</v>
      </c>
      <c r="C117" s="1" t="s">
        <v>36</v>
      </c>
      <c r="D117" s="1" t="s">
        <v>32</v>
      </c>
      <c r="E117" s="1" t="s">
        <v>12</v>
      </c>
      <c r="F117">
        <v>12</v>
      </c>
      <c r="G117" s="2">
        <v>77100</v>
      </c>
      <c r="H117">
        <v>3</v>
      </c>
      <c r="I117" s="2">
        <f>_xlfn.XLOOKUP(employee_data[[#This Row],[Job_Title]],market_benchmarks[Job_Title],market_benchmarks[Market_Median],"Not Found")</f>
        <v>68000</v>
      </c>
      <c r="J117" s="3">
        <f>employee_data[[#This Row],[Current_Salary]]/employee_data[[#This Row],[Market_Median]]</f>
        <v>1.1338235294117647</v>
      </c>
      <c r="K117" s="2">
        <f>employee_data[[#This Row],[Current_Salary]]-employee_data[[#This Row],[Market_Median]]</f>
        <v>9100</v>
      </c>
      <c r="L117" s="3">
        <f>(employee_data[[#This Row],[Current_Salary]]-employee_data[[#This Row],[Market_Median]])/employee_data[[#This Row],[Market_Median]]</f>
        <v>0.1338235294117647</v>
      </c>
      <c r="M117" t="str" cm="1">
        <f t="array" ref="M11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18" spans="1:13" x14ac:dyDescent="0.3">
      <c r="A118" s="1" t="s">
        <v>152</v>
      </c>
      <c r="B118" s="1" t="s">
        <v>30</v>
      </c>
      <c r="C118" s="1" t="s">
        <v>31</v>
      </c>
      <c r="D118" s="1" t="s">
        <v>32</v>
      </c>
      <c r="E118" s="1" t="s">
        <v>12</v>
      </c>
      <c r="F118">
        <v>0</v>
      </c>
      <c r="G118" s="2">
        <v>51500</v>
      </c>
      <c r="H118">
        <v>3</v>
      </c>
      <c r="I118" s="2">
        <f>_xlfn.XLOOKUP(employee_data[[#This Row],[Job_Title]],market_benchmarks[Job_Title],market_benchmarks[Market_Median],"Not Found")</f>
        <v>58000</v>
      </c>
      <c r="J118" s="3">
        <f>employee_data[[#This Row],[Current_Salary]]/employee_data[[#This Row],[Market_Median]]</f>
        <v>0.88793103448275867</v>
      </c>
      <c r="K118" s="2">
        <f>employee_data[[#This Row],[Current_Salary]]-employee_data[[#This Row],[Market_Median]]</f>
        <v>-6500</v>
      </c>
      <c r="L118" s="3">
        <f>(employee_data[[#This Row],[Current_Salary]]-employee_data[[#This Row],[Market_Median]])/employee_data[[#This Row],[Market_Median]]</f>
        <v>-0.11206896551724138</v>
      </c>
      <c r="M118" t="str" cm="1">
        <f t="array" ref="M11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19" spans="1:13" x14ac:dyDescent="0.3">
      <c r="A119" s="1" t="s">
        <v>153</v>
      </c>
      <c r="B119" s="1" t="s">
        <v>14</v>
      </c>
      <c r="C119" s="1" t="s">
        <v>15</v>
      </c>
      <c r="D119" s="1" t="s">
        <v>16</v>
      </c>
      <c r="E119" s="1" t="s">
        <v>12</v>
      </c>
      <c r="F119">
        <v>16</v>
      </c>
      <c r="G119" s="2">
        <v>89700</v>
      </c>
      <c r="H119">
        <v>4</v>
      </c>
      <c r="I119" s="2">
        <f>_xlfn.XLOOKUP(employee_data[[#This Row],[Job_Title]],market_benchmarks[Job_Title],market_benchmarks[Market_Median],"Not Found")</f>
        <v>82000</v>
      </c>
      <c r="J119" s="3">
        <f>employee_data[[#This Row],[Current_Salary]]/employee_data[[#This Row],[Market_Median]]</f>
        <v>1.0939024390243903</v>
      </c>
      <c r="K119" s="2">
        <f>employee_data[[#This Row],[Current_Salary]]-employee_data[[#This Row],[Market_Median]]</f>
        <v>7700</v>
      </c>
      <c r="L119" s="3">
        <f>(employee_data[[#This Row],[Current_Salary]]-employee_data[[#This Row],[Market_Median]])/employee_data[[#This Row],[Market_Median]]</f>
        <v>9.3902439024390244E-2</v>
      </c>
      <c r="M119" t="str" cm="1">
        <f t="array" ref="M11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20" spans="1:13" x14ac:dyDescent="0.3">
      <c r="A120" s="1" t="s">
        <v>154</v>
      </c>
      <c r="B120" s="1" t="s">
        <v>38</v>
      </c>
      <c r="C120" s="1" t="s">
        <v>55</v>
      </c>
      <c r="D120" s="1" t="s">
        <v>11</v>
      </c>
      <c r="E120" s="1" t="s">
        <v>12</v>
      </c>
      <c r="F120">
        <v>2</v>
      </c>
      <c r="G120" s="2">
        <v>51200</v>
      </c>
      <c r="H120">
        <v>2</v>
      </c>
      <c r="I120" s="2">
        <f>_xlfn.XLOOKUP(employee_data[[#This Row],[Job_Title]],market_benchmarks[Job_Title],market_benchmarks[Market_Median],"Not Found")</f>
        <v>52000</v>
      </c>
      <c r="J120" s="3">
        <f>employee_data[[#This Row],[Current_Salary]]/employee_data[[#This Row],[Market_Median]]</f>
        <v>0.98461538461538467</v>
      </c>
      <c r="K120" s="2">
        <f>employee_data[[#This Row],[Current_Salary]]-employee_data[[#This Row],[Market_Median]]</f>
        <v>-800</v>
      </c>
      <c r="L120" s="3">
        <f>(employee_data[[#This Row],[Current_Salary]]-employee_data[[#This Row],[Market_Median]])/employee_data[[#This Row],[Market_Median]]</f>
        <v>-1.5384615384615385E-2</v>
      </c>
      <c r="M120" t="str" cm="1">
        <f t="array" ref="M12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21" spans="1:13" x14ac:dyDescent="0.3">
      <c r="A121" s="1" t="s">
        <v>155</v>
      </c>
      <c r="B121" s="1" t="s">
        <v>18</v>
      </c>
      <c r="C121" s="1" t="s">
        <v>43</v>
      </c>
      <c r="D121" s="1" t="s">
        <v>32</v>
      </c>
      <c r="E121" s="1" t="s">
        <v>12</v>
      </c>
      <c r="F121">
        <v>2</v>
      </c>
      <c r="G121" s="2">
        <v>82200</v>
      </c>
      <c r="H121">
        <v>3</v>
      </c>
      <c r="I121" s="2">
        <f>_xlfn.XLOOKUP(employee_data[[#This Row],[Job_Title]],market_benchmarks[Job_Title],market_benchmarks[Market_Median],"Not Found")</f>
        <v>72000</v>
      </c>
      <c r="J121" s="3">
        <f>employee_data[[#This Row],[Current_Salary]]/employee_data[[#This Row],[Market_Median]]</f>
        <v>1.1416666666666666</v>
      </c>
      <c r="K121" s="2">
        <f>employee_data[[#This Row],[Current_Salary]]-employee_data[[#This Row],[Market_Median]]</f>
        <v>10200</v>
      </c>
      <c r="L121" s="3">
        <f>(employee_data[[#This Row],[Current_Salary]]-employee_data[[#This Row],[Market_Median]])/employee_data[[#This Row],[Market_Median]]</f>
        <v>0.14166666666666666</v>
      </c>
      <c r="M121" t="str" cm="1">
        <f t="array" ref="M12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22" spans="1:13" x14ac:dyDescent="0.3">
      <c r="A122" s="1" t="s">
        <v>156</v>
      </c>
      <c r="B122" s="1" t="s">
        <v>18</v>
      </c>
      <c r="C122" s="1" t="s">
        <v>28</v>
      </c>
      <c r="D122" s="1" t="s">
        <v>11</v>
      </c>
      <c r="E122" s="1" t="s">
        <v>12</v>
      </c>
      <c r="F122">
        <v>4</v>
      </c>
      <c r="G122" s="2">
        <v>42400</v>
      </c>
      <c r="H122">
        <v>4</v>
      </c>
      <c r="I122" s="2">
        <f>_xlfn.XLOOKUP(employee_data[[#This Row],[Job_Title]],market_benchmarks[Job_Title],market_benchmarks[Market_Median],"Not Found")</f>
        <v>52000</v>
      </c>
      <c r="J122" s="3">
        <f>employee_data[[#This Row],[Current_Salary]]/employee_data[[#This Row],[Market_Median]]</f>
        <v>0.81538461538461537</v>
      </c>
      <c r="K122" s="2">
        <f>employee_data[[#This Row],[Current_Salary]]-employee_data[[#This Row],[Market_Median]]</f>
        <v>-9600</v>
      </c>
      <c r="L122" s="3">
        <f>(employee_data[[#This Row],[Current_Salary]]-employee_data[[#This Row],[Market_Median]])/employee_data[[#This Row],[Market_Median]]</f>
        <v>-0.18461538461538463</v>
      </c>
      <c r="M122" t="str" cm="1">
        <f t="array" ref="M12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23" spans="1:13" x14ac:dyDescent="0.3">
      <c r="A123" s="1" t="s">
        <v>157</v>
      </c>
      <c r="B123" s="1" t="s">
        <v>30</v>
      </c>
      <c r="C123" s="1" t="s">
        <v>31</v>
      </c>
      <c r="D123" s="1" t="s">
        <v>32</v>
      </c>
      <c r="E123" s="1" t="s">
        <v>12</v>
      </c>
      <c r="F123">
        <v>0</v>
      </c>
      <c r="G123" s="2">
        <v>51400</v>
      </c>
      <c r="H123">
        <v>5</v>
      </c>
      <c r="I123" s="2">
        <f>_xlfn.XLOOKUP(employee_data[[#This Row],[Job_Title]],market_benchmarks[Job_Title],market_benchmarks[Market_Median],"Not Found")</f>
        <v>58000</v>
      </c>
      <c r="J123" s="3">
        <f>employee_data[[#This Row],[Current_Salary]]/employee_data[[#This Row],[Market_Median]]</f>
        <v>0.88620689655172413</v>
      </c>
      <c r="K123" s="2">
        <f>employee_data[[#This Row],[Current_Salary]]-employee_data[[#This Row],[Market_Median]]</f>
        <v>-6600</v>
      </c>
      <c r="L123" s="3">
        <f>(employee_data[[#This Row],[Current_Salary]]-employee_data[[#This Row],[Market_Median]])/employee_data[[#This Row],[Market_Median]]</f>
        <v>-0.11379310344827587</v>
      </c>
      <c r="M123" t="str" cm="1">
        <f t="array" ref="M12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24" spans="1:13" x14ac:dyDescent="0.3">
      <c r="A124" s="1" t="s">
        <v>158</v>
      </c>
      <c r="B124" s="1" t="s">
        <v>18</v>
      </c>
      <c r="C124" s="1" t="s">
        <v>43</v>
      </c>
      <c r="D124" s="1" t="s">
        <v>32</v>
      </c>
      <c r="E124" s="1" t="s">
        <v>12</v>
      </c>
      <c r="F124">
        <v>0</v>
      </c>
      <c r="G124" s="2">
        <v>57400</v>
      </c>
      <c r="H124">
        <v>4</v>
      </c>
      <c r="I124" s="2">
        <f>_xlfn.XLOOKUP(employee_data[[#This Row],[Job_Title]],market_benchmarks[Job_Title],market_benchmarks[Market_Median],"Not Found")</f>
        <v>72000</v>
      </c>
      <c r="J124" s="3">
        <f>employee_data[[#This Row],[Current_Salary]]/employee_data[[#This Row],[Market_Median]]</f>
        <v>0.79722222222222228</v>
      </c>
      <c r="K124" s="2">
        <f>employee_data[[#This Row],[Current_Salary]]-employee_data[[#This Row],[Market_Median]]</f>
        <v>-14600</v>
      </c>
      <c r="L124" s="3">
        <f>(employee_data[[#This Row],[Current_Salary]]-employee_data[[#This Row],[Market_Median]])/employee_data[[#This Row],[Market_Median]]</f>
        <v>-0.20277777777777778</v>
      </c>
      <c r="M124" t="str" cm="1">
        <f t="array" ref="M12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25" spans="1:13" x14ac:dyDescent="0.3">
      <c r="A125" s="1" t="s">
        <v>159</v>
      </c>
      <c r="B125" s="1" t="s">
        <v>38</v>
      </c>
      <c r="C125" s="1" t="s">
        <v>39</v>
      </c>
      <c r="D125" s="1" t="s">
        <v>32</v>
      </c>
      <c r="E125" s="1" t="s">
        <v>12</v>
      </c>
      <c r="F125">
        <v>1</v>
      </c>
      <c r="G125" s="2">
        <v>75400</v>
      </c>
      <c r="H125">
        <v>3</v>
      </c>
      <c r="I125" s="2">
        <f>_xlfn.XLOOKUP(employee_data[[#This Row],[Job_Title]],market_benchmarks[Job_Title],market_benchmarks[Market_Median],"Not Found")</f>
        <v>70000</v>
      </c>
      <c r="J125" s="3">
        <f>employee_data[[#This Row],[Current_Salary]]/employee_data[[#This Row],[Market_Median]]</f>
        <v>1.0771428571428572</v>
      </c>
      <c r="K125" s="2">
        <f>employee_data[[#This Row],[Current_Salary]]-employee_data[[#This Row],[Market_Median]]</f>
        <v>5400</v>
      </c>
      <c r="L125" s="3">
        <f>(employee_data[[#This Row],[Current_Salary]]-employee_data[[#This Row],[Market_Median]])/employee_data[[#This Row],[Market_Median]]</f>
        <v>7.7142857142857138E-2</v>
      </c>
      <c r="M125" t="str" cm="1">
        <f t="array" ref="M12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26" spans="1:13" x14ac:dyDescent="0.3">
      <c r="A126" s="1" t="s">
        <v>160</v>
      </c>
      <c r="B126" s="1" t="s">
        <v>14</v>
      </c>
      <c r="C126" s="1" t="s">
        <v>15</v>
      </c>
      <c r="D126" s="1" t="s">
        <v>16</v>
      </c>
      <c r="E126" s="1" t="s">
        <v>12</v>
      </c>
      <c r="F126">
        <v>17</v>
      </c>
      <c r="G126" s="2">
        <v>94800</v>
      </c>
      <c r="H126">
        <v>4</v>
      </c>
      <c r="I126" s="2">
        <f>_xlfn.XLOOKUP(employee_data[[#This Row],[Job_Title]],market_benchmarks[Job_Title],market_benchmarks[Market_Median],"Not Found")</f>
        <v>82000</v>
      </c>
      <c r="J126" s="3">
        <f>employee_data[[#This Row],[Current_Salary]]/employee_data[[#This Row],[Market_Median]]</f>
        <v>1.1560975609756097</v>
      </c>
      <c r="K126" s="2">
        <f>employee_data[[#This Row],[Current_Salary]]-employee_data[[#This Row],[Market_Median]]</f>
        <v>12800</v>
      </c>
      <c r="L126" s="3">
        <f>(employee_data[[#This Row],[Current_Salary]]-employee_data[[#This Row],[Market_Median]])/employee_data[[#This Row],[Market_Median]]</f>
        <v>0.15609756097560976</v>
      </c>
      <c r="M126" t="str" cm="1">
        <f t="array" ref="M12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27" spans="1:13" x14ac:dyDescent="0.3">
      <c r="A127" s="1" t="s">
        <v>161</v>
      </c>
      <c r="B127" s="1" t="s">
        <v>22</v>
      </c>
      <c r="C127" s="1" t="s">
        <v>41</v>
      </c>
      <c r="D127" s="1" t="s">
        <v>16</v>
      </c>
      <c r="E127" s="1" t="s">
        <v>12</v>
      </c>
      <c r="F127">
        <v>16</v>
      </c>
      <c r="G127" s="2">
        <v>95700</v>
      </c>
      <c r="H127">
        <v>2</v>
      </c>
      <c r="I127" s="2">
        <f>_xlfn.XLOOKUP(employee_data[[#This Row],[Job_Title]],market_benchmarks[Job_Title],market_benchmarks[Market_Median],"Not Found")</f>
        <v>85000</v>
      </c>
      <c r="J127" s="3">
        <f>employee_data[[#This Row],[Current_Salary]]/employee_data[[#This Row],[Market_Median]]</f>
        <v>1.1258823529411766</v>
      </c>
      <c r="K127" s="2">
        <f>employee_data[[#This Row],[Current_Salary]]-employee_data[[#This Row],[Market_Median]]</f>
        <v>10700</v>
      </c>
      <c r="L127" s="3">
        <f>(employee_data[[#This Row],[Current_Salary]]-employee_data[[#This Row],[Market_Median]])/employee_data[[#This Row],[Market_Median]]</f>
        <v>0.12588235294117647</v>
      </c>
      <c r="M127" t="str" cm="1">
        <f t="array" ref="M12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28" spans="1:13" x14ac:dyDescent="0.3">
      <c r="A128" s="1" t="s">
        <v>162</v>
      </c>
      <c r="B128" s="1" t="s">
        <v>18</v>
      </c>
      <c r="C128" s="1" t="s">
        <v>28</v>
      </c>
      <c r="D128" s="1" t="s">
        <v>11</v>
      </c>
      <c r="E128" s="1" t="s">
        <v>12</v>
      </c>
      <c r="F128">
        <v>13</v>
      </c>
      <c r="G128" s="2">
        <v>47100</v>
      </c>
      <c r="H128">
        <v>4</v>
      </c>
      <c r="I128" s="2">
        <f>_xlfn.XLOOKUP(employee_data[[#This Row],[Job_Title]],market_benchmarks[Job_Title],market_benchmarks[Market_Median],"Not Found")</f>
        <v>52000</v>
      </c>
      <c r="J128" s="3">
        <f>employee_data[[#This Row],[Current_Salary]]/employee_data[[#This Row],[Market_Median]]</f>
        <v>0.90576923076923077</v>
      </c>
      <c r="K128" s="2">
        <f>employee_data[[#This Row],[Current_Salary]]-employee_data[[#This Row],[Market_Median]]</f>
        <v>-4900</v>
      </c>
      <c r="L128" s="3">
        <f>(employee_data[[#This Row],[Current_Salary]]-employee_data[[#This Row],[Market_Median]])/employee_data[[#This Row],[Market_Median]]</f>
        <v>-9.4230769230769229E-2</v>
      </c>
      <c r="M128" t="str" cm="1">
        <f t="array" ref="M12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29" spans="1:13" x14ac:dyDescent="0.3">
      <c r="A129" s="1" t="s">
        <v>163</v>
      </c>
      <c r="B129" s="1" t="s">
        <v>9</v>
      </c>
      <c r="C129" s="1" t="s">
        <v>60</v>
      </c>
      <c r="D129" s="1" t="s">
        <v>32</v>
      </c>
      <c r="E129" s="1" t="s">
        <v>12</v>
      </c>
      <c r="F129">
        <v>5</v>
      </c>
      <c r="G129" s="2">
        <v>71400</v>
      </c>
      <c r="H129">
        <v>3</v>
      </c>
      <c r="I129" s="2">
        <f>_xlfn.XLOOKUP(employee_data[[#This Row],[Job_Title]],market_benchmarks[Job_Title],market_benchmarks[Market_Median],"Not Found")</f>
        <v>78000</v>
      </c>
      <c r="J129" s="3">
        <f>employee_data[[#This Row],[Current_Salary]]/employee_data[[#This Row],[Market_Median]]</f>
        <v>0.91538461538461535</v>
      </c>
      <c r="K129" s="2">
        <f>employee_data[[#This Row],[Current_Salary]]-employee_data[[#This Row],[Market_Median]]</f>
        <v>-6600</v>
      </c>
      <c r="L129" s="3">
        <f>(employee_data[[#This Row],[Current_Salary]]-employee_data[[#This Row],[Market_Median]])/employee_data[[#This Row],[Market_Median]]</f>
        <v>-8.461538461538462E-2</v>
      </c>
      <c r="M129" t="str" cm="1">
        <f t="array" ref="M12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30" spans="1:13" x14ac:dyDescent="0.3">
      <c r="A130" s="1" t="s">
        <v>164</v>
      </c>
      <c r="B130" s="1" t="s">
        <v>38</v>
      </c>
      <c r="C130" s="1" t="s">
        <v>39</v>
      </c>
      <c r="D130" s="1" t="s">
        <v>32</v>
      </c>
      <c r="E130" s="1" t="s">
        <v>12</v>
      </c>
      <c r="F130">
        <v>14</v>
      </c>
      <c r="G130" s="2">
        <v>64600</v>
      </c>
      <c r="H130">
        <v>3</v>
      </c>
      <c r="I130" s="2">
        <f>_xlfn.XLOOKUP(employee_data[[#This Row],[Job_Title]],market_benchmarks[Job_Title],market_benchmarks[Market_Median],"Not Found")</f>
        <v>70000</v>
      </c>
      <c r="J130" s="3">
        <f>employee_data[[#This Row],[Current_Salary]]/employee_data[[#This Row],[Market_Median]]</f>
        <v>0.92285714285714282</v>
      </c>
      <c r="K130" s="2">
        <f>employee_data[[#This Row],[Current_Salary]]-employee_data[[#This Row],[Market_Median]]</f>
        <v>-5400</v>
      </c>
      <c r="L130" s="3">
        <f>(employee_data[[#This Row],[Current_Salary]]-employee_data[[#This Row],[Market_Median]])/employee_data[[#This Row],[Market_Median]]</f>
        <v>-7.7142857142857138E-2</v>
      </c>
      <c r="M130" t="str" cm="1">
        <f t="array" ref="M13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31" spans="1:13" x14ac:dyDescent="0.3">
      <c r="A131" s="1" t="s">
        <v>165</v>
      </c>
      <c r="B131" s="1" t="s">
        <v>22</v>
      </c>
      <c r="C131" s="1" t="s">
        <v>23</v>
      </c>
      <c r="D131" s="1" t="s">
        <v>11</v>
      </c>
      <c r="E131" s="1" t="s">
        <v>12</v>
      </c>
      <c r="F131">
        <v>14</v>
      </c>
      <c r="G131" s="2">
        <v>51100</v>
      </c>
      <c r="H131">
        <v>3</v>
      </c>
      <c r="I131" s="2">
        <f>_xlfn.XLOOKUP(employee_data[[#This Row],[Job_Title]],market_benchmarks[Job_Title],market_benchmarks[Market_Median],"Not Found")</f>
        <v>50000</v>
      </c>
      <c r="J131" s="3">
        <f>employee_data[[#This Row],[Current_Salary]]/employee_data[[#This Row],[Market_Median]]</f>
        <v>1.022</v>
      </c>
      <c r="K131" s="2">
        <f>employee_data[[#This Row],[Current_Salary]]-employee_data[[#This Row],[Market_Median]]</f>
        <v>1100</v>
      </c>
      <c r="L131" s="3">
        <f>(employee_data[[#This Row],[Current_Salary]]-employee_data[[#This Row],[Market_Median]])/employee_data[[#This Row],[Market_Median]]</f>
        <v>2.1999999999999999E-2</v>
      </c>
      <c r="M131" t="str" cm="1">
        <f t="array" ref="M13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32" spans="1:13" x14ac:dyDescent="0.3">
      <c r="A132" s="1" t="s">
        <v>166</v>
      </c>
      <c r="B132" s="1" t="s">
        <v>38</v>
      </c>
      <c r="C132" s="1" t="s">
        <v>96</v>
      </c>
      <c r="D132" s="1" t="s">
        <v>16</v>
      </c>
      <c r="E132" s="1" t="s">
        <v>12</v>
      </c>
      <c r="F132">
        <v>16</v>
      </c>
      <c r="G132" s="2">
        <v>68600</v>
      </c>
      <c r="H132">
        <v>5</v>
      </c>
      <c r="I132" s="2">
        <f>_xlfn.XLOOKUP(employee_data[[#This Row],[Job_Title]],market_benchmarks[Job_Title],market_benchmarks[Market_Median],"Not Found")</f>
        <v>88000</v>
      </c>
      <c r="J132" s="3">
        <f>employee_data[[#This Row],[Current_Salary]]/employee_data[[#This Row],[Market_Median]]</f>
        <v>0.77954545454545454</v>
      </c>
      <c r="K132" s="2">
        <f>employee_data[[#This Row],[Current_Salary]]-employee_data[[#This Row],[Market_Median]]</f>
        <v>-19400</v>
      </c>
      <c r="L132" s="3">
        <f>(employee_data[[#This Row],[Current_Salary]]-employee_data[[#This Row],[Market_Median]])/employee_data[[#This Row],[Market_Median]]</f>
        <v>-0.22045454545454546</v>
      </c>
      <c r="M132" t="str" cm="1">
        <f t="array" ref="M13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33" spans="1:13" x14ac:dyDescent="0.3">
      <c r="A133" s="1" t="s">
        <v>167</v>
      </c>
      <c r="B133" s="1" t="s">
        <v>18</v>
      </c>
      <c r="C133" s="1" t="s">
        <v>43</v>
      </c>
      <c r="D133" s="1" t="s">
        <v>32</v>
      </c>
      <c r="E133" s="1" t="s">
        <v>12</v>
      </c>
      <c r="F133">
        <v>5</v>
      </c>
      <c r="G133" s="2">
        <v>68000</v>
      </c>
      <c r="H133">
        <v>3</v>
      </c>
      <c r="I133" s="2">
        <f>_xlfn.XLOOKUP(employee_data[[#This Row],[Job_Title]],market_benchmarks[Job_Title],market_benchmarks[Market_Median],"Not Found")</f>
        <v>72000</v>
      </c>
      <c r="J133" s="3">
        <f>employee_data[[#This Row],[Current_Salary]]/employee_data[[#This Row],[Market_Median]]</f>
        <v>0.94444444444444442</v>
      </c>
      <c r="K133" s="2">
        <f>employee_data[[#This Row],[Current_Salary]]-employee_data[[#This Row],[Market_Median]]</f>
        <v>-4000</v>
      </c>
      <c r="L133" s="3">
        <f>(employee_data[[#This Row],[Current_Salary]]-employee_data[[#This Row],[Market_Median]])/employee_data[[#This Row],[Market_Median]]</f>
        <v>-5.5555555555555552E-2</v>
      </c>
      <c r="M133" t="str" cm="1">
        <f t="array" ref="M13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34" spans="1:13" x14ac:dyDescent="0.3">
      <c r="A134" s="1" t="s">
        <v>168</v>
      </c>
      <c r="B134" s="1" t="s">
        <v>18</v>
      </c>
      <c r="C134" s="1" t="s">
        <v>43</v>
      </c>
      <c r="D134" s="1" t="s">
        <v>32</v>
      </c>
      <c r="E134" s="1" t="s">
        <v>12</v>
      </c>
      <c r="F134">
        <v>10</v>
      </c>
      <c r="G134" s="2">
        <v>71900</v>
      </c>
      <c r="H134">
        <v>3</v>
      </c>
      <c r="I134" s="2">
        <f>_xlfn.XLOOKUP(employee_data[[#This Row],[Job_Title]],market_benchmarks[Job_Title],market_benchmarks[Market_Median],"Not Found")</f>
        <v>72000</v>
      </c>
      <c r="J134" s="3">
        <f>employee_data[[#This Row],[Current_Salary]]/employee_data[[#This Row],[Market_Median]]</f>
        <v>0.99861111111111112</v>
      </c>
      <c r="K134" s="2">
        <f>employee_data[[#This Row],[Current_Salary]]-employee_data[[#This Row],[Market_Median]]</f>
        <v>-100</v>
      </c>
      <c r="L134" s="3">
        <f>(employee_data[[#This Row],[Current_Salary]]-employee_data[[#This Row],[Market_Median]])/employee_data[[#This Row],[Market_Median]]</f>
        <v>-1.3888888888888889E-3</v>
      </c>
      <c r="M134" t="str" cm="1">
        <f t="array" ref="M13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35" spans="1:13" x14ac:dyDescent="0.3">
      <c r="A135" s="1" t="s">
        <v>169</v>
      </c>
      <c r="B135" s="1" t="s">
        <v>14</v>
      </c>
      <c r="C135" s="1" t="s">
        <v>65</v>
      </c>
      <c r="D135" s="1" t="s">
        <v>32</v>
      </c>
      <c r="E135" s="1" t="s">
        <v>12</v>
      </c>
      <c r="F135">
        <v>15</v>
      </c>
      <c r="G135" s="2">
        <v>50600</v>
      </c>
      <c r="H135">
        <v>3</v>
      </c>
      <c r="I135" s="2">
        <f>_xlfn.XLOOKUP(employee_data[[#This Row],[Job_Title]],market_benchmarks[Job_Title],market_benchmarks[Market_Median],"Not Found")</f>
        <v>68000</v>
      </c>
      <c r="J135" s="3">
        <f>employee_data[[#This Row],[Current_Salary]]/employee_data[[#This Row],[Market_Median]]</f>
        <v>0.74411764705882355</v>
      </c>
      <c r="K135" s="2">
        <f>employee_data[[#This Row],[Current_Salary]]-employee_data[[#This Row],[Market_Median]]</f>
        <v>-17400</v>
      </c>
      <c r="L135" s="3">
        <f>(employee_data[[#This Row],[Current_Salary]]-employee_data[[#This Row],[Market_Median]])/employee_data[[#This Row],[Market_Median]]</f>
        <v>-0.25588235294117645</v>
      </c>
      <c r="M135" t="str" cm="1">
        <f t="array" ref="M13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36" spans="1:13" x14ac:dyDescent="0.3">
      <c r="A136" s="1" t="s">
        <v>170</v>
      </c>
      <c r="B136" s="1" t="s">
        <v>9</v>
      </c>
      <c r="C136" s="1" t="s">
        <v>10</v>
      </c>
      <c r="D136" s="1" t="s">
        <v>11</v>
      </c>
      <c r="E136" s="1" t="s">
        <v>12</v>
      </c>
      <c r="F136">
        <v>2</v>
      </c>
      <c r="G136" s="2">
        <v>57800</v>
      </c>
      <c r="H136">
        <v>4</v>
      </c>
      <c r="I136" s="2">
        <f>_xlfn.XLOOKUP(employee_data[[#This Row],[Job_Title]],market_benchmarks[Job_Title],market_benchmarks[Market_Median],"Not Found")</f>
        <v>58000</v>
      </c>
      <c r="J136" s="3">
        <f>employee_data[[#This Row],[Current_Salary]]/employee_data[[#This Row],[Market_Median]]</f>
        <v>0.99655172413793103</v>
      </c>
      <c r="K136" s="2">
        <f>employee_data[[#This Row],[Current_Salary]]-employee_data[[#This Row],[Market_Median]]</f>
        <v>-200</v>
      </c>
      <c r="L136" s="3">
        <f>(employee_data[[#This Row],[Current_Salary]]-employee_data[[#This Row],[Market_Median]])/employee_data[[#This Row],[Market_Median]]</f>
        <v>-3.4482758620689655E-3</v>
      </c>
      <c r="M136" t="str" cm="1">
        <f t="array" ref="M13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37" spans="1:13" x14ac:dyDescent="0.3">
      <c r="A137" s="1" t="s">
        <v>171</v>
      </c>
      <c r="B137" s="1" t="s">
        <v>18</v>
      </c>
      <c r="C137" s="1" t="s">
        <v>43</v>
      </c>
      <c r="D137" s="1" t="s">
        <v>32</v>
      </c>
      <c r="E137" s="1" t="s">
        <v>12</v>
      </c>
      <c r="F137">
        <v>18</v>
      </c>
      <c r="G137" s="2">
        <v>68500</v>
      </c>
      <c r="H137">
        <v>1</v>
      </c>
      <c r="I137" s="2">
        <f>_xlfn.XLOOKUP(employee_data[[#This Row],[Job_Title]],market_benchmarks[Job_Title],market_benchmarks[Market_Median],"Not Found")</f>
        <v>72000</v>
      </c>
      <c r="J137" s="3">
        <f>employee_data[[#This Row],[Current_Salary]]/employee_data[[#This Row],[Market_Median]]</f>
        <v>0.95138888888888884</v>
      </c>
      <c r="K137" s="2">
        <f>employee_data[[#This Row],[Current_Salary]]-employee_data[[#This Row],[Market_Median]]</f>
        <v>-3500</v>
      </c>
      <c r="L137" s="3">
        <f>(employee_data[[#This Row],[Current_Salary]]-employee_data[[#This Row],[Market_Median]])/employee_data[[#This Row],[Market_Median]]</f>
        <v>-4.8611111111111112E-2</v>
      </c>
      <c r="M137" t="str" cm="1">
        <f t="array" ref="M13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38" spans="1:13" x14ac:dyDescent="0.3">
      <c r="A138" s="1" t="s">
        <v>172</v>
      </c>
      <c r="B138" s="1" t="s">
        <v>18</v>
      </c>
      <c r="C138" s="1" t="s">
        <v>43</v>
      </c>
      <c r="D138" s="1" t="s">
        <v>32</v>
      </c>
      <c r="E138" s="1" t="s">
        <v>12</v>
      </c>
      <c r="F138">
        <v>9</v>
      </c>
      <c r="G138" s="2">
        <v>58100</v>
      </c>
      <c r="H138">
        <v>3</v>
      </c>
      <c r="I138" s="2">
        <f>_xlfn.XLOOKUP(employee_data[[#This Row],[Job_Title]],market_benchmarks[Job_Title],market_benchmarks[Market_Median],"Not Found")</f>
        <v>72000</v>
      </c>
      <c r="J138" s="3">
        <f>employee_data[[#This Row],[Current_Salary]]/employee_data[[#This Row],[Market_Median]]</f>
        <v>0.80694444444444446</v>
      </c>
      <c r="K138" s="2">
        <f>employee_data[[#This Row],[Current_Salary]]-employee_data[[#This Row],[Market_Median]]</f>
        <v>-13900</v>
      </c>
      <c r="L138" s="3">
        <f>(employee_data[[#This Row],[Current_Salary]]-employee_data[[#This Row],[Market_Median]])/employee_data[[#This Row],[Market_Median]]</f>
        <v>-0.19305555555555556</v>
      </c>
      <c r="M138" t="str" cm="1">
        <f t="array" ref="M13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39" spans="1:13" x14ac:dyDescent="0.3">
      <c r="A139" s="1" t="s">
        <v>173</v>
      </c>
      <c r="B139" s="1" t="s">
        <v>38</v>
      </c>
      <c r="C139" s="1" t="s">
        <v>55</v>
      </c>
      <c r="D139" s="1" t="s">
        <v>11</v>
      </c>
      <c r="E139" s="1" t="s">
        <v>12</v>
      </c>
      <c r="F139">
        <v>13</v>
      </c>
      <c r="G139" s="2">
        <v>48400</v>
      </c>
      <c r="H139">
        <v>3</v>
      </c>
      <c r="I139" s="2">
        <f>_xlfn.XLOOKUP(employee_data[[#This Row],[Job_Title]],market_benchmarks[Job_Title],market_benchmarks[Market_Median],"Not Found")</f>
        <v>52000</v>
      </c>
      <c r="J139" s="3">
        <f>employee_data[[#This Row],[Current_Salary]]/employee_data[[#This Row],[Market_Median]]</f>
        <v>0.93076923076923079</v>
      </c>
      <c r="K139" s="2">
        <f>employee_data[[#This Row],[Current_Salary]]-employee_data[[#This Row],[Market_Median]]</f>
        <v>-3600</v>
      </c>
      <c r="L139" s="3">
        <f>(employee_data[[#This Row],[Current_Salary]]-employee_data[[#This Row],[Market_Median]])/employee_data[[#This Row],[Market_Median]]</f>
        <v>-6.9230769230769235E-2</v>
      </c>
      <c r="M139" t="str" cm="1">
        <f t="array" ref="M13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0" spans="1:13" x14ac:dyDescent="0.3">
      <c r="A140" s="1" t="s">
        <v>174</v>
      </c>
      <c r="B140" s="1" t="s">
        <v>14</v>
      </c>
      <c r="C140" s="1" t="s">
        <v>48</v>
      </c>
      <c r="D140" s="1" t="s">
        <v>11</v>
      </c>
      <c r="E140" s="1" t="s">
        <v>12</v>
      </c>
      <c r="F140">
        <v>14</v>
      </c>
      <c r="G140" s="2">
        <v>51800</v>
      </c>
      <c r="H140">
        <v>3</v>
      </c>
      <c r="I140" s="2">
        <f>_xlfn.XLOOKUP(employee_data[[#This Row],[Job_Title]],market_benchmarks[Job_Title],market_benchmarks[Market_Median],"Not Found")</f>
        <v>50000</v>
      </c>
      <c r="J140" s="3">
        <f>employee_data[[#This Row],[Current_Salary]]/employee_data[[#This Row],[Market_Median]]</f>
        <v>1.036</v>
      </c>
      <c r="K140" s="2">
        <f>employee_data[[#This Row],[Current_Salary]]-employee_data[[#This Row],[Market_Median]]</f>
        <v>1800</v>
      </c>
      <c r="L140" s="3">
        <f>(employee_data[[#This Row],[Current_Salary]]-employee_data[[#This Row],[Market_Median]])/employee_data[[#This Row],[Market_Median]]</f>
        <v>3.5999999999999997E-2</v>
      </c>
      <c r="M140" t="str" cm="1">
        <f t="array" ref="M14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41" spans="1:13" x14ac:dyDescent="0.3">
      <c r="A141" s="1" t="s">
        <v>175</v>
      </c>
      <c r="B141" s="1" t="s">
        <v>30</v>
      </c>
      <c r="C141" s="1" t="s">
        <v>76</v>
      </c>
      <c r="D141" s="1" t="s">
        <v>16</v>
      </c>
      <c r="E141" s="1" t="s">
        <v>12</v>
      </c>
      <c r="F141">
        <v>19</v>
      </c>
      <c r="G141" s="2">
        <v>63900</v>
      </c>
      <c r="H141">
        <v>3</v>
      </c>
      <c r="I141" s="2">
        <f>_xlfn.XLOOKUP(employee_data[[#This Row],[Job_Title]],market_benchmarks[Job_Title],market_benchmarks[Market_Median],"Not Found")</f>
        <v>72000</v>
      </c>
      <c r="J141" s="3">
        <f>employee_data[[#This Row],[Current_Salary]]/employee_data[[#This Row],[Market_Median]]</f>
        <v>0.88749999999999996</v>
      </c>
      <c r="K141" s="2">
        <f>employee_data[[#This Row],[Current_Salary]]-employee_data[[#This Row],[Market_Median]]</f>
        <v>-8100</v>
      </c>
      <c r="L141" s="3">
        <f>(employee_data[[#This Row],[Current_Salary]]-employee_data[[#This Row],[Market_Median]])/employee_data[[#This Row],[Market_Median]]</f>
        <v>-0.1125</v>
      </c>
      <c r="M141" t="str" cm="1">
        <f t="array" ref="M14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2" spans="1:13" x14ac:dyDescent="0.3">
      <c r="A142" s="1" t="s">
        <v>176</v>
      </c>
      <c r="B142" s="1" t="s">
        <v>22</v>
      </c>
      <c r="C142" s="1" t="s">
        <v>36</v>
      </c>
      <c r="D142" s="1" t="s">
        <v>32</v>
      </c>
      <c r="E142" s="1" t="s">
        <v>12</v>
      </c>
      <c r="F142">
        <v>13</v>
      </c>
      <c r="G142" s="2">
        <v>70400</v>
      </c>
      <c r="H142">
        <v>3</v>
      </c>
      <c r="I142" s="2">
        <f>_xlfn.XLOOKUP(employee_data[[#This Row],[Job_Title]],market_benchmarks[Job_Title],market_benchmarks[Market_Median],"Not Found")</f>
        <v>68000</v>
      </c>
      <c r="J142" s="3">
        <f>employee_data[[#This Row],[Current_Salary]]/employee_data[[#This Row],[Market_Median]]</f>
        <v>1.0352941176470589</v>
      </c>
      <c r="K142" s="2">
        <f>employee_data[[#This Row],[Current_Salary]]-employee_data[[#This Row],[Market_Median]]</f>
        <v>2400</v>
      </c>
      <c r="L142" s="3">
        <f>(employee_data[[#This Row],[Current_Salary]]-employee_data[[#This Row],[Market_Median]])/employee_data[[#This Row],[Market_Median]]</f>
        <v>3.5294117647058823E-2</v>
      </c>
      <c r="M142" t="str" cm="1">
        <f t="array" ref="M14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43" spans="1:13" x14ac:dyDescent="0.3">
      <c r="A143" s="1" t="s">
        <v>177</v>
      </c>
      <c r="B143" s="1" t="s">
        <v>22</v>
      </c>
      <c r="C143" s="1" t="s">
        <v>41</v>
      </c>
      <c r="D143" s="1" t="s">
        <v>16</v>
      </c>
      <c r="E143" s="1" t="s">
        <v>12</v>
      </c>
      <c r="F143">
        <v>14</v>
      </c>
      <c r="G143" s="2">
        <v>72400</v>
      </c>
      <c r="H143">
        <v>1</v>
      </c>
      <c r="I143" s="2">
        <f>_xlfn.XLOOKUP(employee_data[[#This Row],[Job_Title]],market_benchmarks[Job_Title],market_benchmarks[Market_Median],"Not Found")</f>
        <v>85000</v>
      </c>
      <c r="J143" s="3">
        <f>employee_data[[#This Row],[Current_Salary]]/employee_data[[#This Row],[Market_Median]]</f>
        <v>0.85176470588235298</v>
      </c>
      <c r="K143" s="2">
        <f>employee_data[[#This Row],[Current_Salary]]-employee_data[[#This Row],[Market_Median]]</f>
        <v>-12600</v>
      </c>
      <c r="L143" s="3">
        <f>(employee_data[[#This Row],[Current_Salary]]-employee_data[[#This Row],[Market_Median]])/employee_data[[#This Row],[Market_Median]]</f>
        <v>-0.14823529411764705</v>
      </c>
      <c r="M143" t="str" cm="1">
        <f t="array" ref="M14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4" spans="1:13" x14ac:dyDescent="0.3">
      <c r="A144" s="1" t="s">
        <v>178</v>
      </c>
      <c r="B144" s="1" t="s">
        <v>38</v>
      </c>
      <c r="C144" s="1" t="s">
        <v>39</v>
      </c>
      <c r="D144" s="1" t="s">
        <v>32</v>
      </c>
      <c r="E144" s="1" t="s">
        <v>12</v>
      </c>
      <c r="F144">
        <v>5</v>
      </c>
      <c r="G144" s="2">
        <v>60800</v>
      </c>
      <c r="H144">
        <v>3</v>
      </c>
      <c r="I144" s="2">
        <f>_xlfn.XLOOKUP(employee_data[[#This Row],[Job_Title]],market_benchmarks[Job_Title],market_benchmarks[Market_Median],"Not Found")</f>
        <v>70000</v>
      </c>
      <c r="J144" s="3">
        <f>employee_data[[#This Row],[Current_Salary]]/employee_data[[#This Row],[Market_Median]]</f>
        <v>0.86857142857142855</v>
      </c>
      <c r="K144" s="2">
        <f>employee_data[[#This Row],[Current_Salary]]-employee_data[[#This Row],[Market_Median]]</f>
        <v>-9200</v>
      </c>
      <c r="L144" s="3">
        <f>(employee_data[[#This Row],[Current_Salary]]-employee_data[[#This Row],[Market_Median]])/employee_data[[#This Row],[Market_Median]]</f>
        <v>-0.13142857142857142</v>
      </c>
      <c r="M144" t="str" cm="1">
        <f t="array" ref="M14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5" spans="1:13" x14ac:dyDescent="0.3">
      <c r="A145" s="1" t="s">
        <v>179</v>
      </c>
      <c r="B145" s="1" t="s">
        <v>18</v>
      </c>
      <c r="C145" s="1" t="s">
        <v>43</v>
      </c>
      <c r="D145" s="1" t="s">
        <v>32</v>
      </c>
      <c r="E145" s="1" t="s">
        <v>12</v>
      </c>
      <c r="F145">
        <v>6</v>
      </c>
      <c r="G145" s="2">
        <v>61900</v>
      </c>
      <c r="H145">
        <v>3</v>
      </c>
      <c r="I145" s="2">
        <f>_xlfn.XLOOKUP(employee_data[[#This Row],[Job_Title]],market_benchmarks[Job_Title],market_benchmarks[Market_Median],"Not Found")</f>
        <v>72000</v>
      </c>
      <c r="J145" s="3">
        <f>employee_data[[#This Row],[Current_Salary]]/employee_data[[#This Row],[Market_Median]]</f>
        <v>0.85972222222222228</v>
      </c>
      <c r="K145" s="2">
        <f>employee_data[[#This Row],[Current_Salary]]-employee_data[[#This Row],[Market_Median]]</f>
        <v>-10100</v>
      </c>
      <c r="L145" s="3">
        <f>(employee_data[[#This Row],[Current_Salary]]-employee_data[[#This Row],[Market_Median]])/employee_data[[#This Row],[Market_Median]]</f>
        <v>-0.14027777777777778</v>
      </c>
      <c r="M145" t="str" cm="1">
        <f t="array" ref="M14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6" spans="1:13" x14ac:dyDescent="0.3">
      <c r="A146" s="1" t="s">
        <v>180</v>
      </c>
      <c r="B146" s="1" t="s">
        <v>22</v>
      </c>
      <c r="C146" s="1" t="s">
        <v>36</v>
      </c>
      <c r="D146" s="1" t="s">
        <v>32</v>
      </c>
      <c r="E146" s="1" t="s">
        <v>12</v>
      </c>
      <c r="F146">
        <v>11</v>
      </c>
      <c r="G146" s="2">
        <v>62200</v>
      </c>
      <c r="H146">
        <v>3</v>
      </c>
      <c r="I146" s="2">
        <f>_xlfn.XLOOKUP(employee_data[[#This Row],[Job_Title]],market_benchmarks[Job_Title],market_benchmarks[Market_Median],"Not Found")</f>
        <v>68000</v>
      </c>
      <c r="J146" s="3">
        <f>employee_data[[#This Row],[Current_Salary]]/employee_data[[#This Row],[Market_Median]]</f>
        <v>0.91470588235294115</v>
      </c>
      <c r="K146" s="2">
        <f>employee_data[[#This Row],[Current_Salary]]-employee_data[[#This Row],[Market_Median]]</f>
        <v>-5800</v>
      </c>
      <c r="L146" s="3">
        <f>(employee_data[[#This Row],[Current_Salary]]-employee_data[[#This Row],[Market_Median]])/employee_data[[#This Row],[Market_Median]]</f>
        <v>-8.5294117647058826E-2</v>
      </c>
      <c r="M146" t="str" cm="1">
        <f t="array" ref="M14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47" spans="1:13" x14ac:dyDescent="0.3">
      <c r="A147" s="1" t="s">
        <v>181</v>
      </c>
      <c r="B147" s="1" t="s">
        <v>38</v>
      </c>
      <c r="C147" s="1" t="s">
        <v>96</v>
      </c>
      <c r="D147" s="1" t="s">
        <v>16</v>
      </c>
      <c r="E147" s="1" t="s">
        <v>12</v>
      </c>
      <c r="F147">
        <v>8</v>
      </c>
      <c r="G147" s="2">
        <v>65000</v>
      </c>
      <c r="H147">
        <v>3</v>
      </c>
      <c r="I147" s="2">
        <f>_xlfn.XLOOKUP(employee_data[[#This Row],[Job_Title]],market_benchmarks[Job_Title],market_benchmarks[Market_Median],"Not Found")</f>
        <v>88000</v>
      </c>
      <c r="J147" s="3">
        <f>employee_data[[#This Row],[Current_Salary]]/employee_data[[#This Row],[Market_Median]]</f>
        <v>0.73863636363636365</v>
      </c>
      <c r="K147" s="2">
        <f>employee_data[[#This Row],[Current_Salary]]-employee_data[[#This Row],[Market_Median]]</f>
        <v>-23000</v>
      </c>
      <c r="L147" s="3">
        <f>(employee_data[[#This Row],[Current_Salary]]-employee_data[[#This Row],[Market_Median]])/employee_data[[#This Row],[Market_Median]]</f>
        <v>-0.26136363636363635</v>
      </c>
      <c r="M147" t="str" cm="1">
        <f t="array" ref="M147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48" spans="1:13" x14ac:dyDescent="0.3">
      <c r="A148" s="1" t="s">
        <v>182</v>
      </c>
      <c r="B148" s="1" t="s">
        <v>9</v>
      </c>
      <c r="C148" s="1" t="s">
        <v>25</v>
      </c>
      <c r="D148" s="1" t="s">
        <v>16</v>
      </c>
      <c r="E148" s="1" t="s">
        <v>12</v>
      </c>
      <c r="F148">
        <v>1</v>
      </c>
      <c r="G148" s="2">
        <v>107600</v>
      </c>
      <c r="H148">
        <v>3</v>
      </c>
      <c r="I148" s="2">
        <f>_xlfn.XLOOKUP(employee_data[[#This Row],[Job_Title]],market_benchmarks[Job_Title],market_benchmarks[Market_Median],"Not Found")</f>
        <v>98000</v>
      </c>
      <c r="J148" s="3">
        <f>employee_data[[#This Row],[Current_Salary]]/employee_data[[#This Row],[Market_Median]]</f>
        <v>1.0979591836734695</v>
      </c>
      <c r="K148" s="2">
        <f>employee_data[[#This Row],[Current_Salary]]-employee_data[[#This Row],[Market_Median]]</f>
        <v>9600</v>
      </c>
      <c r="L148" s="3">
        <f>(employee_data[[#This Row],[Current_Salary]]-employee_data[[#This Row],[Market_Median]])/employee_data[[#This Row],[Market_Median]]</f>
        <v>9.7959183673469383E-2</v>
      </c>
      <c r="M148" t="str" cm="1">
        <f t="array" ref="M14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49" spans="1:13" x14ac:dyDescent="0.3">
      <c r="A149" s="1" t="s">
        <v>183</v>
      </c>
      <c r="B149" s="1" t="s">
        <v>38</v>
      </c>
      <c r="C149" s="1" t="s">
        <v>55</v>
      </c>
      <c r="D149" s="1" t="s">
        <v>11</v>
      </c>
      <c r="E149" s="1" t="s">
        <v>12</v>
      </c>
      <c r="F149">
        <v>4</v>
      </c>
      <c r="G149" s="2">
        <v>59700</v>
      </c>
      <c r="H149">
        <v>3</v>
      </c>
      <c r="I149" s="2">
        <f>_xlfn.XLOOKUP(employee_data[[#This Row],[Job_Title]],market_benchmarks[Job_Title],market_benchmarks[Market_Median],"Not Found")</f>
        <v>52000</v>
      </c>
      <c r="J149" s="3">
        <f>employee_data[[#This Row],[Current_Salary]]/employee_data[[#This Row],[Market_Median]]</f>
        <v>1.148076923076923</v>
      </c>
      <c r="K149" s="2">
        <f>employee_data[[#This Row],[Current_Salary]]-employee_data[[#This Row],[Market_Median]]</f>
        <v>7700</v>
      </c>
      <c r="L149" s="3">
        <f>(employee_data[[#This Row],[Current_Salary]]-employee_data[[#This Row],[Market_Median]])/employee_data[[#This Row],[Market_Median]]</f>
        <v>0.14807692307692308</v>
      </c>
      <c r="M149" t="str" cm="1">
        <f t="array" ref="M14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50" spans="1:13" x14ac:dyDescent="0.3">
      <c r="A150" s="1" t="s">
        <v>184</v>
      </c>
      <c r="B150" s="1" t="s">
        <v>38</v>
      </c>
      <c r="C150" s="1" t="s">
        <v>39</v>
      </c>
      <c r="D150" s="1" t="s">
        <v>32</v>
      </c>
      <c r="E150" s="1" t="s">
        <v>12</v>
      </c>
      <c r="F150">
        <v>12</v>
      </c>
      <c r="G150" s="2">
        <v>62200</v>
      </c>
      <c r="H150">
        <v>3</v>
      </c>
      <c r="I150" s="2">
        <f>_xlfn.XLOOKUP(employee_data[[#This Row],[Job_Title]],market_benchmarks[Job_Title],market_benchmarks[Market_Median],"Not Found")</f>
        <v>70000</v>
      </c>
      <c r="J150" s="3">
        <f>employee_data[[#This Row],[Current_Salary]]/employee_data[[#This Row],[Market_Median]]</f>
        <v>0.88857142857142857</v>
      </c>
      <c r="K150" s="2">
        <f>employee_data[[#This Row],[Current_Salary]]-employee_data[[#This Row],[Market_Median]]</f>
        <v>-7800</v>
      </c>
      <c r="L150" s="3">
        <f>(employee_data[[#This Row],[Current_Salary]]-employee_data[[#This Row],[Market_Median]])/employee_data[[#This Row],[Market_Median]]</f>
        <v>-0.11142857142857143</v>
      </c>
      <c r="M150" t="str" cm="1">
        <f t="array" ref="M15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51" spans="1:13" x14ac:dyDescent="0.3">
      <c r="A151" s="1" t="s">
        <v>185</v>
      </c>
      <c r="B151" s="1" t="s">
        <v>9</v>
      </c>
      <c r="C151" s="1" t="s">
        <v>60</v>
      </c>
      <c r="D151" s="1" t="s">
        <v>32</v>
      </c>
      <c r="E151" s="1" t="s">
        <v>12</v>
      </c>
      <c r="F151">
        <v>10</v>
      </c>
      <c r="G151" s="2">
        <v>64300</v>
      </c>
      <c r="H151">
        <v>2</v>
      </c>
      <c r="I151" s="2">
        <f>_xlfn.XLOOKUP(employee_data[[#This Row],[Job_Title]],market_benchmarks[Job_Title],market_benchmarks[Market_Median],"Not Found")</f>
        <v>78000</v>
      </c>
      <c r="J151" s="3">
        <f>employee_data[[#This Row],[Current_Salary]]/employee_data[[#This Row],[Market_Median]]</f>
        <v>0.82435897435897432</v>
      </c>
      <c r="K151" s="2">
        <f>employee_data[[#This Row],[Current_Salary]]-employee_data[[#This Row],[Market_Median]]</f>
        <v>-13700</v>
      </c>
      <c r="L151" s="3">
        <f>(employee_data[[#This Row],[Current_Salary]]-employee_data[[#This Row],[Market_Median]])/employee_data[[#This Row],[Market_Median]]</f>
        <v>-0.17564102564102563</v>
      </c>
      <c r="M151" t="str" cm="1">
        <f t="array" ref="M15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52" spans="1:13" x14ac:dyDescent="0.3">
      <c r="A152" s="1" t="s">
        <v>186</v>
      </c>
      <c r="B152" s="1" t="s">
        <v>22</v>
      </c>
      <c r="C152" s="1" t="s">
        <v>41</v>
      </c>
      <c r="D152" s="1" t="s">
        <v>16</v>
      </c>
      <c r="E152" s="1" t="s">
        <v>12</v>
      </c>
      <c r="F152">
        <v>8</v>
      </c>
      <c r="G152" s="2">
        <v>59500</v>
      </c>
      <c r="H152">
        <v>2</v>
      </c>
      <c r="I152" s="2">
        <f>_xlfn.XLOOKUP(employee_data[[#This Row],[Job_Title]],market_benchmarks[Job_Title],market_benchmarks[Market_Median],"Not Found")</f>
        <v>85000</v>
      </c>
      <c r="J152" s="3">
        <f>employee_data[[#This Row],[Current_Salary]]/employee_data[[#This Row],[Market_Median]]</f>
        <v>0.7</v>
      </c>
      <c r="K152" s="2">
        <f>employee_data[[#This Row],[Current_Salary]]-employee_data[[#This Row],[Market_Median]]</f>
        <v>-25500</v>
      </c>
      <c r="L152" s="3">
        <f>(employee_data[[#This Row],[Current_Salary]]-employee_data[[#This Row],[Market_Median]])/employee_data[[#This Row],[Market_Median]]</f>
        <v>-0.3</v>
      </c>
      <c r="M152" t="str" cm="1">
        <f t="array" ref="M15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53" spans="1:13" x14ac:dyDescent="0.3">
      <c r="A153" s="1" t="s">
        <v>187</v>
      </c>
      <c r="B153" s="1" t="s">
        <v>9</v>
      </c>
      <c r="C153" s="1" t="s">
        <v>25</v>
      </c>
      <c r="D153" s="1" t="s">
        <v>16</v>
      </c>
      <c r="E153" s="1" t="s">
        <v>12</v>
      </c>
      <c r="F153">
        <v>5</v>
      </c>
      <c r="G153" s="2">
        <v>99800</v>
      </c>
      <c r="H153">
        <v>3</v>
      </c>
      <c r="I153" s="2">
        <f>_xlfn.XLOOKUP(employee_data[[#This Row],[Job_Title]],market_benchmarks[Job_Title],market_benchmarks[Market_Median],"Not Found")</f>
        <v>98000</v>
      </c>
      <c r="J153" s="3">
        <f>employee_data[[#This Row],[Current_Salary]]/employee_data[[#This Row],[Market_Median]]</f>
        <v>1.0183673469387755</v>
      </c>
      <c r="K153" s="2">
        <f>employee_data[[#This Row],[Current_Salary]]-employee_data[[#This Row],[Market_Median]]</f>
        <v>1800</v>
      </c>
      <c r="L153" s="3">
        <f>(employee_data[[#This Row],[Current_Salary]]-employee_data[[#This Row],[Market_Median]])/employee_data[[#This Row],[Market_Median]]</f>
        <v>1.8367346938775512E-2</v>
      </c>
      <c r="M153" t="str" cm="1">
        <f t="array" ref="M15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54" spans="1:13" x14ac:dyDescent="0.3">
      <c r="A154" s="1" t="s">
        <v>188</v>
      </c>
      <c r="B154" s="1" t="s">
        <v>9</v>
      </c>
      <c r="C154" s="1" t="s">
        <v>25</v>
      </c>
      <c r="D154" s="1" t="s">
        <v>16</v>
      </c>
      <c r="E154" s="1" t="s">
        <v>12</v>
      </c>
      <c r="F154">
        <v>3</v>
      </c>
      <c r="G154" s="2">
        <v>93000</v>
      </c>
      <c r="H154">
        <v>1</v>
      </c>
      <c r="I154" s="2">
        <f>_xlfn.XLOOKUP(employee_data[[#This Row],[Job_Title]],market_benchmarks[Job_Title],market_benchmarks[Market_Median],"Not Found")</f>
        <v>98000</v>
      </c>
      <c r="J154" s="3">
        <f>employee_data[[#This Row],[Current_Salary]]/employee_data[[#This Row],[Market_Median]]</f>
        <v>0.94897959183673475</v>
      </c>
      <c r="K154" s="2">
        <f>employee_data[[#This Row],[Current_Salary]]-employee_data[[#This Row],[Market_Median]]</f>
        <v>-5000</v>
      </c>
      <c r="L154" s="3">
        <f>(employee_data[[#This Row],[Current_Salary]]-employee_data[[#This Row],[Market_Median]])/employee_data[[#This Row],[Market_Median]]</f>
        <v>-5.1020408163265307E-2</v>
      </c>
      <c r="M154" t="str" cm="1">
        <f t="array" ref="M15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55" spans="1:13" x14ac:dyDescent="0.3">
      <c r="A155" s="1" t="s">
        <v>189</v>
      </c>
      <c r="B155" s="1" t="s">
        <v>22</v>
      </c>
      <c r="C155" s="1" t="s">
        <v>41</v>
      </c>
      <c r="D155" s="1" t="s">
        <v>16</v>
      </c>
      <c r="E155" s="1" t="s">
        <v>12</v>
      </c>
      <c r="F155">
        <v>1</v>
      </c>
      <c r="G155" s="2">
        <v>84600</v>
      </c>
      <c r="H155">
        <v>3</v>
      </c>
      <c r="I155" s="2">
        <f>_xlfn.XLOOKUP(employee_data[[#This Row],[Job_Title]],market_benchmarks[Job_Title],market_benchmarks[Market_Median],"Not Found")</f>
        <v>85000</v>
      </c>
      <c r="J155" s="3">
        <f>employee_data[[#This Row],[Current_Salary]]/employee_data[[#This Row],[Market_Median]]</f>
        <v>0.99529411764705877</v>
      </c>
      <c r="K155" s="2">
        <f>employee_data[[#This Row],[Current_Salary]]-employee_data[[#This Row],[Market_Median]]</f>
        <v>-400</v>
      </c>
      <c r="L155" s="3">
        <f>(employee_data[[#This Row],[Current_Salary]]-employee_data[[#This Row],[Market_Median]])/employee_data[[#This Row],[Market_Median]]</f>
        <v>-4.7058823529411761E-3</v>
      </c>
      <c r="M155" t="str" cm="1">
        <f t="array" ref="M15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56" spans="1:13" x14ac:dyDescent="0.3">
      <c r="A156" s="1" t="s">
        <v>190</v>
      </c>
      <c r="B156" s="1" t="s">
        <v>38</v>
      </c>
      <c r="C156" s="1" t="s">
        <v>96</v>
      </c>
      <c r="D156" s="1" t="s">
        <v>16</v>
      </c>
      <c r="E156" s="1" t="s">
        <v>12</v>
      </c>
      <c r="F156">
        <v>12</v>
      </c>
      <c r="G156" s="2">
        <v>78600</v>
      </c>
      <c r="H156">
        <v>4</v>
      </c>
      <c r="I156" s="2">
        <f>_xlfn.XLOOKUP(employee_data[[#This Row],[Job_Title]],market_benchmarks[Job_Title],market_benchmarks[Market_Median],"Not Found")</f>
        <v>88000</v>
      </c>
      <c r="J156" s="3">
        <f>employee_data[[#This Row],[Current_Salary]]/employee_data[[#This Row],[Market_Median]]</f>
        <v>0.89318181818181819</v>
      </c>
      <c r="K156" s="2">
        <f>employee_data[[#This Row],[Current_Salary]]-employee_data[[#This Row],[Market_Median]]</f>
        <v>-9400</v>
      </c>
      <c r="L156" s="3">
        <f>(employee_data[[#This Row],[Current_Salary]]-employee_data[[#This Row],[Market_Median]])/employee_data[[#This Row],[Market_Median]]</f>
        <v>-0.10681818181818181</v>
      </c>
      <c r="M156" t="str" cm="1">
        <f t="array" ref="M15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57" spans="1:13" x14ac:dyDescent="0.3">
      <c r="A157" s="1" t="s">
        <v>191</v>
      </c>
      <c r="B157" s="1" t="s">
        <v>14</v>
      </c>
      <c r="C157" s="1" t="s">
        <v>48</v>
      </c>
      <c r="D157" s="1" t="s">
        <v>11</v>
      </c>
      <c r="E157" s="1" t="s">
        <v>12</v>
      </c>
      <c r="F157">
        <v>19</v>
      </c>
      <c r="G157" s="2">
        <v>42500</v>
      </c>
      <c r="H157">
        <v>3</v>
      </c>
      <c r="I157" s="2">
        <f>_xlfn.XLOOKUP(employee_data[[#This Row],[Job_Title]],market_benchmarks[Job_Title],market_benchmarks[Market_Median],"Not Found")</f>
        <v>50000</v>
      </c>
      <c r="J157" s="3">
        <f>employee_data[[#This Row],[Current_Salary]]/employee_data[[#This Row],[Market_Median]]</f>
        <v>0.85</v>
      </c>
      <c r="K157" s="2">
        <f>employee_data[[#This Row],[Current_Salary]]-employee_data[[#This Row],[Market_Median]]</f>
        <v>-7500</v>
      </c>
      <c r="L157" s="3">
        <f>(employee_data[[#This Row],[Current_Salary]]-employee_data[[#This Row],[Market_Median]])/employee_data[[#This Row],[Market_Median]]</f>
        <v>-0.15</v>
      </c>
      <c r="M157" t="str" cm="1">
        <f t="array" ref="M15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58" spans="1:13" x14ac:dyDescent="0.3">
      <c r="A158" s="1" t="s">
        <v>192</v>
      </c>
      <c r="B158" s="1" t="s">
        <v>30</v>
      </c>
      <c r="C158" s="1" t="s">
        <v>31</v>
      </c>
      <c r="D158" s="1" t="s">
        <v>32</v>
      </c>
      <c r="E158" s="1" t="s">
        <v>12</v>
      </c>
      <c r="F158">
        <v>13</v>
      </c>
      <c r="G158" s="2">
        <v>48500</v>
      </c>
      <c r="H158">
        <v>3</v>
      </c>
      <c r="I158" s="2">
        <f>_xlfn.XLOOKUP(employee_data[[#This Row],[Job_Title]],market_benchmarks[Job_Title],market_benchmarks[Market_Median],"Not Found")</f>
        <v>58000</v>
      </c>
      <c r="J158" s="3">
        <f>employee_data[[#This Row],[Current_Salary]]/employee_data[[#This Row],[Market_Median]]</f>
        <v>0.83620689655172409</v>
      </c>
      <c r="K158" s="2">
        <f>employee_data[[#This Row],[Current_Salary]]-employee_data[[#This Row],[Market_Median]]</f>
        <v>-9500</v>
      </c>
      <c r="L158" s="3">
        <f>(employee_data[[#This Row],[Current_Salary]]-employee_data[[#This Row],[Market_Median]])/employee_data[[#This Row],[Market_Median]]</f>
        <v>-0.16379310344827586</v>
      </c>
      <c r="M158" t="str" cm="1">
        <f t="array" ref="M15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59" spans="1:13" x14ac:dyDescent="0.3">
      <c r="A159" s="1" t="s">
        <v>193</v>
      </c>
      <c r="B159" s="1" t="s">
        <v>9</v>
      </c>
      <c r="C159" s="1" t="s">
        <v>10</v>
      </c>
      <c r="D159" s="1" t="s">
        <v>11</v>
      </c>
      <c r="E159" s="1" t="s">
        <v>12</v>
      </c>
      <c r="F159">
        <v>10</v>
      </c>
      <c r="G159" s="2">
        <v>56700</v>
      </c>
      <c r="H159">
        <v>3</v>
      </c>
      <c r="I159" s="2">
        <f>_xlfn.XLOOKUP(employee_data[[#This Row],[Job_Title]],market_benchmarks[Job_Title],market_benchmarks[Market_Median],"Not Found")</f>
        <v>58000</v>
      </c>
      <c r="J159" s="3">
        <f>employee_data[[#This Row],[Current_Salary]]/employee_data[[#This Row],[Market_Median]]</f>
        <v>0.97758620689655173</v>
      </c>
      <c r="K159" s="2">
        <f>employee_data[[#This Row],[Current_Salary]]-employee_data[[#This Row],[Market_Median]]</f>
        <v>-1300</v>
      </c>
      <c r="L159" s="3">
        <f>(employee_data[[#This Row],[Current_Salary]]-employee_data[[#This Row],[Market_Median]])/employee_data[[#This Row],[Market_Median]]</f>
        <v>-2.2413793103448276E-2</v>
      </c>
      <c r="M159" t="str" cm="1">
        <f t="array" ref="M15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60" spans="1:13" x14ac:dyDescent="0.3">
      <c r="A160" s="1" t="s">
        <v>194</v>
      </c>
      <c r="B160" s="1" t="s">
        <v>22</v>
      </c>
      <c r="C160" s="1" t="s">
        <v>36</v>
      </c>
      <c r="D160" s="1" t="s">
        <v>32</v>
      </c>
      <c r="E160" s="1" t="s">
        <v>12</v>
      </c>
      <c r="F160">
        <v>9</v>
      </c>
      <c r="G160" s="2">
        <v>55100</v>
      </c>
      <c r="H160">
        <v>3</v>
      </c>
      <c r="I160" s="2">
        <f>_xlfn.XLOOKUP(employee_data[[#This Row],[Job_Title]],market_benchmarks[Job_Title],market_benchmarks[Market_Median],"Not Found")</f>
        <v>68000</v>
      </c>
      <c r="J160" s="3">
        <f>employee_data[[#This Row],[Current_Salary]]/employee_data[[#This Row],[Market_Median]]</f>
        <v>0.81029411764705883</v>
      </c>
      <c r="K160" s="2">
        <f>employee_data[[#This Row],[Current_Salary]]-employee_data[[#This Row],[Market_Median]]</f>
        <v>-12900</v>
      </c>
      <c r="L160" s="3">
        <f>(employee_data[[#This Row],[Current_Salary]]-employee_data[[#This Row],[Market_Median]])/employee_data[[#This Row],[Market_Median]]</f>
        <v>-0.18970588235294117</v>
      </c>
      <c r="M160" t="str" cm="1">
        <f t="array" ref="M160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61" spans="1:13" x14ac:dyDescent="0.3">
      <c r="A161" s="1" t="s">
        <v>195</v>
      </c>
      <c r="B161" s="1" t="s">
        <v>38</v>
      </c>
      <c r="C161" s="1" t="s">
        <v>55</v>
      </c>
      <c r="D161" s="1" t="s">
        <v>11</v>
      </c>
      <c r="E161" s="1" t="s">
        <v>12</v>
      </c>
      <c r="F161">
        <v>4</v>
      </c>
      <c r="G161" s="2">
        <v>50600</v>
      </c>
      <c r="H161">
        <v>1</v>
      </c>
      <c r="I161" s="2">
        <f>_xlfn.XLOOKUP(employee_data[[#This Row],[Job_Title]],market_benchmarks[Job_Title],market_benchmarks[Market_Median],"Not Found")</f>
        <v>52000</v>
      </c>
      <c r="J161" s="3">
        <f>employee_data[[#This Row],[Current_Salary]]/employee_data[[#This Row],[Market_Median]]</f>
        <v>0.97307692307692306</v>
      </c>
      <c r="K161" s="2">
        <f>employee_data[[#This Row],[Current_Salary]]-employee_data[[#This Row],[Market_Median]]</f>
        <v>-1400</v>
      </c>
      <c r="L161" s="3">
        <f>(employee_data[[#This Row],[Current_Salary]]-employee_data[[#This Row],[Market_Median]])/employee_data[[#This Row],[Market_Median]]</f>
        <v>-2.6923076923076925E-2</v>
      </c>
      <c r="M161" t="str" cm="1">
        <f t="array" ref="M16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62" spans="1:13" x14ac:dyDescent="0.3">
      <c r="A162" s="1" t="s">
        <v>196</v>
      </c>
      <c r="B162" s="1" t="s">
        <v>30</v>
      </c>
      <c r="C162" s="1" t="s">
        <v>76</v>
      </c>
      <c r="D162" s="1" t="s">
        <v>16</v>
      </c>
      <c r="E162" s="1" t="s">
        <v>12</v>
      </c>
      <c r="F162">
        <v>14</v>
      </c>
      <c r="G162" s="2">
        <v>55700</v>
      </c>
      <c r="H162">
        <v>3</v>
      </c>
      <c r="I162" s="2">
        <f>_xlfn.XLOOKUP(employee_data[[#This Row],[Job_Title]],market_benchmarks[Job_Title],market_benchmarks[Market_Median],"Not Found")</f>
        <v>72000</v>
      </c>
      <c r="J162" s="3">
        <f>employee_data[[#This Row],[Current_Salary]]/employee_data[[#This Row],[Market_Median]]</f>
        <v>0.77361111111111114</v>
      </c>
      <c r="K162" s="2">
        <f>employee_data[[#This Row],[Current_Salary]]-employee_data[[#This Row],[Market_Median]]</f>
        <v>-16300</v>
      </c>
      <c r="L162" s="3">
        <f>(employee_data[[#This Row],[Current_Salary]]-employee_data[[#This Row],[Market_Median]])/employee_data[[#This Row],[Market_Median]]</f>
        <v>-0.22638888888888889</v>
      </c>
      <c r="M162" t="str" cm="1">
        <f t="array" ref="M16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63" spans="1:13" x14ac:dyDescent="0.3">
      <c r="A163" s="1" t="s">
        <v>197</v>
      </c>
      <c r="B163" s="1" t="s">
        <v>30</v>
      </c>
      <c r="C163" s="1" t="s">
        <v>53</v>
      </c>
      <c r="D163" s="1" t="s">
        <v>11</v>
      </c>
      <c r="E163" s="1" t="s">
        <v>12</v>
      </c>
      <c r="F163">
        <v>11</v>
      </c>
      <c r="G163" s="2">
        <v>40600</v>
      </c>
      <c r="H163">
        <v>3</v>
      </c>
      <c r="I163" s="2">
        <f>_xlfn.XLOOKUP(employee_data[[#This Row],[Job_Title]],market_benchmarks[Job_Title],market_benchmarks[Market_Median],"Not Found")</f>
        <v>48000</v>
      </c>
      <c r="J163" s="3">
        <f>employee_data[[#This Row],[Current_Salary]]/employee_data[[#This Row],[Market_Median]]</f>
        <v>0.84583333333333333</v>
      </c>
      <c r="K163" s="2">
        <f>employee_data[[#This Row],[Current_Salary]]-employee_data[[#This Row],[Market_Median]]</f>
        <v>-7400</v>
      </c>
      <c r="L163" s="3">
        <f>(employee_data[[#This Row],[Current_Salary]]-employee_data[[#This Row],[Market_Median]])/employee_data[[#This Row],[Market_Median]]</f>
        <v>-0.15416666666666667</v>
      </c>
      <c r="M163" t="str" cm="1">
        <f t="array" ref="M16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64" spans="1:13" x14ac:dyDescent="0.3">
      <c r="A164" s="1" t="s">
        <v>198</v>
      </c>
      <c r="B164" s="1" t="s">
        <v>18</v>
      </c>
      <c r="C164" s="1" t="s">
        <v>19</v>
      </c>
      <c r="D164" s="1" t="s">
        <v>16</v>
      </c>
      <c r="E164" s="1" t="s">
        <v>12</v>
      </c>
      <c r="F164">
        <v>8</v>
      </c>
      <c r="G164" s="2">
        <v>91500</v>
      </c>
      <c r="H164">
        <v>3</v>
      </c>
      <c r="I164" s="2">
        <f>_xlfn.XLOOKUP(employee_data[[#This Row],[Job_Title]],market_benchmarks[Job_Title],market_benchmarks[Market_Median],"Not Found")</f>
        <v>90000</v>
      </c>
      <c r="J164" s="3">
        <f>employee_data[[#This Row],[Current_Salary]]/employee_data[[#This Row],[Market_Median]]</f>
        <v>1.0166666666666666</v>
      </c>
      <c r="K164" s="2">
        <f>employee_data[[#This Row],[Current_Salary]]-employee_data[[#This Row],[Market_Median]]</f>
        <v>1500</v>
      </c>
      <c r="L164" s="3">
        <f>(employee_data[[#This Row],[Current_Salary]]-employee_data[[#This Row],[Market_Median]])/employee_data[[#This Row],[Market_Median]]</f>
        <v>1.6666666666666666E-2</v>
      </c>
      <c r="M164" t="str" cm="1">
        <f t="array" ref="M16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65" spans="1:13" x14ac:dyDescent="0.3">
      <c r="A165" s="1" t="s">
        <v>199</v>
      </c>
      <c r="B165" s="1" t="s">
        <v>22</v>
      </c>
      <c r="C165" s="1" t="s">
        <v>23</v>
      </c>
      <c r="D165" s="1" t="s">
        <v>11</v>
      </c>
      <c r="E165" s="1" t="s">
        <v>12</v>
      </c>
      <c r="F165">
        <v>7</v>
      </c>
      <c r="G165" s="2">
        <v>46600</v>
      </c>
      <c r="H165">
        <v>4</v>
      </c>
      <c r="I165" s="2">
        <f>_xlfn.XLOOKUP(employee_data[[#This Row],[Job_Title]],market_benchmarks[Job_Title],market_benchmarks[Market_Median],"Not Found")</f>
        <v>50000</v>
      </c>
      <c r="J165" s="3">
        <f>employee_data[[#This Row],[Current_Salary]]/employee_data[[#This Row],[Market_Median]]</f>
        <v>0.93200000000000005</v>
      </c>
      <c r="K165" s="2">
        <f>employee_data[[#This Row],[Current_Salary]]-employee_data[[#This Row],[Market_Median]]</f>
        <v>-3400</v>
      </c>
      <c r="L165" s="3">
        <f>(employee_data[[#This Row],[Current_Salary]]-employee_data[[#This Row],[Market_Median]])/employee_data[[#This Row],[Market_Median]]</f>
        <v>-6.8000000000000005E-2</v>
      </c>
      <c r="M165" t="str" cm="1">
        <f t="array" ref="M16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66" spans="1:13" x14ac:dyDescent="0.3">
      <c r="A166" s="1" t="s">
        <v>200</v>
      </c>
      <c r="B166" s="1" t="s">
        <v>18</v>
      </c>
      <c r="C166" s="1" t="s">
        <v>43</v>
      </c>
      <c r="D166" s="1" t="s">
        <v>32</v>
      </c>
      <c r="E166" s="1" t="s">
        <v>12</v>
      </c>
      <c r="F166">
        <v>2</v>
      </c>
      <c r="G166" s="2">
        <v>72300</v>
      </c>
      <c r="H166">
        <v>3</v>
      </c>
      <c r="I166" s="2">
        <f>_xlfn.XLOOKUP(employee_data[[#This Row],[Job_Title]],market_benchmarks[Job_Title],market_benchmarks[Market_Median],"Not Found")</f>
        <v>72000</v>
      </c>
      <c r="J166" s="3">
        <f>employee_data[[#This Row],[Current_Salary]]/employee_data[[#This Row],[Market_Median]]</f>
        <v>1.0041666666666667</v>
      </c>
      <c r="K166" s="2">
        <f>employee_data[[#This Row],[Current_Salary]]-employee_data[[#This Row],[Market_Median]]</f>
        <v>300</v>
      </c>
      <c r="L166" s="3">
        <f>(employee_data[[#This Row],[Current_Salary]]-employee_data[[#This Row],[Market_Median]])/employee_data[[#This Row],[Market_Median]]</f>
        <v>4.1666666666666666E-3</v>
      </c>
      <c r="M166" t="str" cm="1">
        <f t="array" ref="M16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67" spans="1:13" x14ac:dyDescent="0.3">
      <c r="A167" s="1" t="s">
        <v>201</v>
      </c>
      <c r="B167" s="1" t="s">
        <v>38</v>
      </c>
      <c r="C167" s="1" t="s">
        <v>39</v>
      </c>
      <c r="D167" s="1" t="s">
        <v>32</v>
      </c>
      <c r="E167" s="1" t="s">
        <v>12</v>
      </c>
      <c r="F167">
        <v>3</v>
      </c>
      <c r="G167" s="2">
        <v>73700</v>
      </c>
      <c r="H167">
        <v>3</v>
      </c>
      <c r="I167" s="2">
        <f>_xlfn.XLOOKUP(employee_data[[#This Row],[Job_Title]],market_benchmarks[Job_Title],market_benchmarks[Market_Median],"Not Found")</f>
        <v>70000</v>
      </c>
      <c r="J167" s="3">
        <f>employee_data[[#This Row],[Current_Salary]]/employee_data[[#This Row],[Market_Median]]</f>
        <v>1.0528571428571429</v>
      </c>
      <c r="K167" s="2">
        <f>employee_data[[#This Row],[Current_Salary]]-employee_data[[#This Row],[Market_Median]]</f>
        <v>3700</v>
      </c>
      <c r="L167" s="3">
        <f>(employee_data[[#This Row],[Current_Salary]]-employee_data[[#This Row],[Market_Median]])/employee_data[[#This Row],[Market_Median]]</f>
        <v>5.2857142857142859E-2</v>
      </c>
      <c r="M167" t="str" cm="1">
        <f t="array" ref="M16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68" spans="1:13" x14ac:dyDescent="0.3">
      <c r="A168" s="1" t="s">
        <v>202</v>
      </c>
      <c r="B168" s="1" t="s">
        <v>38</v>
      </c>
      <c r="C168" s="1" t="s">
        <v>55</v>
      </c>
      <c r="D168" s="1" t="s">
        <v>11</v>
      </c>
      <c r="E168" s="1" t="s">
        <v>12</v>
      </c>
      <c r="F168">
        <v>17</v>
      </c>
      <c r="G168" s="2">
        <v>38800</v>
      </c>
      <c r="H168">
        <v>4</v>
      </c>
      <c r="I168" s="2">
        <f>_xlfn.XLOOKUP(employee_data[[#This Row],[Job_Title]],market_benchmarks[Job_Title],market_benchmarks[Market_Median],"Not Found")</f>
        <v>52000</v>
      </c>
      <c r="J168" s="3">
        <f>employee_data[[#This Row],[Current_Salary]]/employee_data[[#This Row],[Market_Median]]</f>
        <v>0.74615384615384617</v>
      </c>
      <c r="K168" s="2">
        <f>employee_data[[#This Row],[Current_Salary]]-employee_data[[#This Row],[Market_Median]]</f>
        <v>-13200</v>
      </c>
      <c r="L168" s="3">
        <f>(employee_data[[#This Row],[Current_Salary]]-employee_data[[#This Row],[Market_Median]])/employee_data[[#This Row],[Market_Median]]</f>
        <v>-0.25384615384615383</v>
      </c>
      <c r="M168" t="str" cm="1">
        <f t="array" ref="M16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69" spans="1:13" x14ac:dyDescent="0.3">
      <c r="A169" s="1" t="s">
        <v>203</v>
      </c>
      <c r="B169" s="1" t="s">
        <v>14</v>
      </c>
      <c r="C169" s="1" t="s">
        <v>48</v>
      </c>
      <c r="D169" s="1" t="s">
        <v>11</v>
      </c>
      <c r="E169" s="1" t="s">
        <v>12</v>
      </c>
      <c r="F169">
        <v>5</v>
      </c>
      <c r="G169" s="2">
        <v>42500</v>
      </c>
      <c r="H169">
        <v>3</v>
      </c>
      <c r="I169" s="2">
        <f>_xlfn.XLOOKUP(employee_data[[#This Row],[Job_Title]],market_benchmarks[Job_Title],market_benchmarks[Market_Median],"Not Found")</f>
        <v>50000</v>
      </c>
      <c r="J169" s="3">
        <f>employee_data[[#This Row],[Current_Salary]]/employee_data[[#This Row],[Market_Median]]</f>
        <v>0.85</v>
      </c>
      <c r="K169" s="2">
        <f>employee_data[[#This Row],[Current_Salary]]-employee_data[[#This Row],[Market_Median]]</f>
        <v>-7500</v>
      </c>
      <c r="L169" s="3">
        <f>(employee_data[[#This Row],[Current_Salary]]-employee_data[[#This Row],[Market_Median]])/employee_data[[#This Row],[Market_Median]]</f>
        <v>-0.15</v>
      </c>
      <c r="M169" t="str" cm="1">
        <f t="array" ref="M16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70" spans="1:13" x14ac:dyDescent="0.3">
      <c r="A170" s="1" t="s">
        <v>204</v>
      </c>
      <c r="B170" s="1" t="s">
        <v>30</v>
      </c>
      <c r="C170" s="1" t="s">
        <v>53</v>
      </c>
      <c r="D170" s="1" t="s">
        <v>11</v>
      </c>
      <c r="E170" s="1" t="s">
        <v>12</v>
      </c>
      <c r="F170">
        <v>16</v>
      </c>
      <c r="G170" s="2">
        <v>49600</v>
      </c>
      <c r="H170">
        <v>4</v>
      </c>
      <c r="I170" s="2">
        <f>_xlfn.XLOOKUP(employee_data[[#This Row],[Job_Title]],market_benchmarks[Job_Title],market_benchmarks[Market_Median],"Not Found")</f>
        <v>48000</v>
      </c>
      <c r="J170" s="3">
        <f>employee_data[[#This Row],[Current_Salary]]/employee_data[[#This Row],[Market_Median]]</f>
        <v>1.0333333333333334</v>
      </c>
      <c r="K170" s="2">
        <f>employee_data[[#This Row],[Current_Salary]]-employee_data[[#This Row],[Market_Median]]</f>
        <v>1600</v>
      </c>
      <c r="L170" s="3">
        <f>(employee_data[[#This Row],[Current_Salary]]-employee_data[[#This Row],[Market_Median]])/employee_data[[#This Row],[Market_Median]]</f>
        <v>3.3333333333333333E-2</v>
      </c>
      <c r="M170" t="str" cm="1">
        <f t="array" ref="M17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71" spans="1:13" x14ac:dyDescent="0.3">
      <c r="A171" s="1" t="s">
        <v>205</v>
      </c>
      <c r="B171" s="1" t="s">
        <v>14</v>
      </c>
      <c r="C171" s="1" t="s">
        <v>15</v>
      </c>
      <c r="D171" s="1" t="s">
        <v>16</v>
      </c>
      <c r="E171" s="1" t="s">
        <v>12</v>
      </c>
      <c r="F171">
        <v>18</v>
      </c>
      <c r="G171" s="2">
        <v>59800</v>
      </c>
      <c r="H171">
        <v>3</v>
      </c>
      <c r="I171" s="2">
        <f>_xlfn.XLOOKUP(employee_data[[#This Row],[Job_Title]],market_benchmarks[Job_Title],market_benchmarks[Market_Median],"Not Found")</f>
        <v>82000</v>
      </c>
      <c r="J171" s="3">
        <f>employee_data[[#This Row],[Current_Salary]]/employee_data[[#This Row],[Market_Median]]</f>
        <v>0.72926829268292681</v>
      </c>
      <c r="K171" s="2">
        <f>employee_data[[#This Row],[Current_Salary]]-employee_data[[#This Row],[Market_Median]]</f>
        <v>-22200</v>
      </c>
      <c r="L171" s="3">
        <f>(employee_data[[#This Row],[Current_Salary]]-employee_data[[#This Row],[Market_Median]])/employee_data[[#This Row],[Market_Median]]</f>
        <v>-0.27073170731707319</v>
      </c>
      <c r="M171" t="str" cm="1">
        <f t="array" ref="M17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72" spans="1:13" x14ac:dyDescent="0.3">
      <c r="A172" s="1" t="s">
        <v>206</v>
      </c>
      <c r="B172" s="1" t="s">
        <v>14</v>
      </c>
      <c r="C172" s="1" t="s">
        <v>15</v>
      </c>
      <c r="D172" s="1" t="s">
        <v>16</v>
      </c>
      <c r="E172" s="1" t="s">
        <v>12</v>
      </c>
      <c r="F172">
        <v>18</v>
      </c>
      <c r="G172" s="2">
        <v>80700</v>
      </c>
      <c r="H172">
        <v>3</v>
      </c>
      <c r="I172" s="2">
        <f>_xlfn.XLOOKUP(employee_data[[#This Row],[Job_Title]],market_benchmarks[Job_Title],market_benchmarks[Market_Median],"Not Found")</f>
        <v>82000</v>
      </c>
      <c r="J172" s="3">
        <f>employee_data[[#This Row],[Current_Salary]]/employee_data[[#This Row],[Market_Median]]</f>
        <v>0.98414634146341462</v>
      </c>
      <c r="K172" s="2">
        <f>employee_data[[#This Row],[Current_Salary]]-employee_data[[#This Row],[Market_Median]]</f>
        <v>-1300</v>
      </c>
      <c r="L172" s="3">
        <f>(employee_data[[#This Row],[Current_Salary]]-employee_data[[#This Row],[Market_Median]])/employee_data[[#This Row],[Market_Median]]</f>
        <v>-1.5853658536585366E-2</v>
      </c>
      <c r="M172" t="str" cm="1">
        <f t="array" ref="M17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73" spans="1:13" x14ac:dyDescent="0.3">
      <c r="A173" s="1" t="s">
        <v>207</v>
      </c>
      <c r="B173" s="1" t="s">
        <v>18</v>
      </c>
      <c r="C173" s="1" t="s">
        <v>28</v>
      </c>
      <c r="D173" s="1" t="s">
        <v>11</v>
      </c>
      <c r="E173" s="1" t="s">
        <v>12</v>
      </c>
      <c r="F173">
        <v>19</v>
      </c>
      <c r="G173" s="2">
        <v>47200</v>
      </c>
      <c r="H173">
        <v>4</v>
      </c>
      <c r="I173" s="2">
        <f>_xlfn.XLOOKUP(employee_data[[#This Row],[Job_Title]],market_benchmarks[Job_Title],market_benchmarks[Market_Median],"Not Found")</f>
        <v>52000</v>
      </c>
      <c r="J173" s="3">
        <f>employee_data[[#This Row],[Current_Salary]]/employee_data[[#This Row],[Market_Median]]</f>
        <v>0.90769230769230769</v>
      </c>
      <c r="K173" s="2">
        <f>employee_data[[#This Row],[Current_Salary]]-employee_data[[#This Row],[Market_Median]]</f>
        <v>-4800</v>
      </c>
      <c r="L173" s="3">
        <f>(employee_data[[#This Row],[Current_Salary]]-employee_data[[#This Row],[Market_Median]])/employee_data[[#This Row],[Market_Median]]</f>
        <v>-9.2307692307692313E-2</v>
      </c>
      <c r="M173" t="str" cm="1">
        <f t="array" ref="M17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74" spans="1:13" x14ac:dyDescent="0.3">
      <c r="A174" s="1" t="s">
        <v>208</v>
      </c>
      <c r="B174" s="1" t="s">
        <v>14</v>
      </c>
      <c r="C174" s="1" t="s">
        <v>48</v>
      </c>
      <c r="D174" s="1" t="s">
        <v>11</v>
      </c>
      <c r="E174" s="1" t="s">
        <v>12</v>
      </c>
      <c r="F174">
        <v>5</v>
      </c>
      <c r="G174" s="2">
        <v>52400</v>
      </c>
      <c r="H174">
        <v>4</v>
      </c>
      <c r="I174" s="2">
        <f>_xlfn.XLOOKUP(employee_data[[#This Row],[Job_Title]],market_benchmarks[Job_Title],market_benchmarks[Market_Median],"Not Found")</f>
        <v>50000</v>
      </c>
      <c r="J174" s="3">
        <f>employee_data[[#This Row],[Current_Salary]]/employee_data[[#This Row],[Market_Median]]</f>
        <v>1.048</v>
      </c>
      <c r="K174" s="2">
        <f>employee_data[[#This Row],[Current_Salary]]-employee_data[[#This Row],[Market_Median]]</f>
        <v>2400</v>
      </c>
      <c r="L174" s="3">
        <f>(employee_data[[#This Row],[Current_Salary]]-employee_data[[#This Row],[Market_Median]])/employee_data[[#This Row],[Market_Median]]</f>
        <v>4.8000000000000001E-2</v>
      </c>
      <c r="M174" t="str" cm="1">
        <f t="array" ref="M17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75" spans="1:13" x14ac:dyDescent="0.3">
      <c r="A175" s="1" t="s">
        <v>209</v>
      </c>
      <c r="B175" s="1" t="s">
        <v>30</v>
      </c>
      <c r="C175" s="1" t="s">
        <v>31</v>
      </c>
      <c r="D175" s="1" t="s">
        <v>32</v>
      </c>
      <c r="E175" s="1" t="s">
        <v>12</v>
      </c>
      <c r="F175">
        <v>3</v>
      </c>
      <c r="G175" s="2">
        <v>59300</v>
      </c>
      <c r="H175">
        <v>3</v>
      </c>
      <c r="I175" s="2">
        <f>_xlfn.XLOOKUP(employee_data[[#This Row],[Job_Title]],market_benchmarks[Job_Title],market_benchmarks[Market_Median],"Not Found")</f>
        <v>58000</v>
      </c>
      <c r="J175" s="3">
        <f>employee_data[[#This Row],[Current_Salary]]/employee_data[[#This Row],[Market_Median]]</f>
        <v>1.0224137931034483</v>
      </c>
      <c r="K175" s="2">
        <f>employee_data[[#This Row],[Current_Salary]]-employee_data[[#This Row],[Market_Median]]</f>
        <v>1300</v>
      </c>
      <c r="L175" s="3">
        <f>(employee_data[[#This Row],[Current_Salary]]-employee_data[[#This Row],[Market_Median]])/employee_data[[#This Row],[Market_Median]]</f>
        <v>2.2413793103448276E-2</v>
      </c>
      <c r="M175" t="str" cm="1">
        <f t="array" ref="M17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76" spans="1:13" x14ac:dyDescent="0.3">
      <c r="A176" s="1" t="s">
        <v>210</v>
      </c>
      <c r="B176" s="1" t="s">
        <v>38</v>
      </c>
      <c r="C176" s="1" t="s">
        <v>55</v>
      </c>
      <c r="D176" s="1" t="s">
        <v>11</v>
      </c>
      <c r="E176" s="1" t="s">
        <v>12</v>
      </c>
      <c r="F176">
        <v>9</v>
      </c>
      <c r="G176" s="2">
        <v>56100</v>
      </c>
      <c r="H176">
        <v>3</v>
      </c>
      <c r="I176" s="2">
        <f>_xlfn.XLOOKUP(employee_data[[#This Row],[Job_Title]],market_benchmarks[Job_Title],market_benchmarks[Market_Median],"Not Found")</f>
        <v>52000</v>
      </c>
      <c r="J176" s="3">
        <f>employee_data[[#This Row],[Current_Salary]]/employee_data[[#This Row],[Market_Median]]</f>
        <v>1.0788461538461538</v>
      </c>
      <c r="K176" s="2">
        <f>employee_data[[#This Row],[Current_Salary]]-employee_data[[#This Row],[Market_Median]]</f>
        <v>4100</v>
      </c>
      <c r="L176" s="3">
        <f>(employee_data[[#This Row],[Current_Salary]]-employee_data[[#This Row],[Market_Median]])/employee_data[[#This Row],[Market_Median]]</f>
        <v>7.8846153846153844E-2</v>
      </c>
      <c r="M176" t="str" cm="1">
        <f t="array" ref="M17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77" spans="1:13" x14ac:dyDescent="0.3">
      <c r="A177" s="1" t="s">
        <v>211</v>
      </c>
      <c r="B177" s="1" t="s">
        <v>18</v>
      </c>
      <c r="C177" s="1" t="s">
        <v>28</v>
      </c>
      <c r="D177" s="1" t="s">
        <v>11</v>
      </c>
      <c r="E177" s="1" t="s">
        <v>12</v>
      </c>
      <c r="F177">
        <v>14</v>
      </c>
      <c r="G177" s="2">
        <v>47100</v>
      </c>
      <c r="H177">
        <v>3</v>
      </c>
      <c r="I177" s="2">
        <f>_xlfn.XLOOKUP(employee_data[[#This Row],[Job_Title]],market_benchmarks[Job_Title],market_benchmarks[Market_Median],"Not Found")</f>
        <v>52000</v>
      </c>
      <c r="J177" s="3">
        <f>employee_data[[#This Row],[Current_Salary]]/employee_data[[#This Row],[Market_Median]]</f>
        <v>0.90576923076923077</v>
      </c>
      <c r="K177" s="2">
        <f>employee_data[[#This Row],[Current_Salary]]-employee_data[[#This Row],[Market_Median]]</f>
        <v>-4900</v>
      </c>
      <c r="L177" s="3">
        <f>(employee_data[[#This Row],[Current_Salary]]-employee_data[[#This Row],[Market_Median]])/employee_data[[#This Row],[Market_Median]]</f>
        <v>-9.4230769230769229E-2</v>
      </c>
      <c r="M177" t="str" cm="1">
        <f t="array" ref="M17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78" spans="1:13" x14ac:dyDescent="0.3">
      <c r="A178" s="1" t="s">
        <v>212</v>
      </c>
      <c r="B178" s="1" t="s">
        <v>18</v>
      </c>
      <c r="C178" s="1" t="s">
        <v>43</v>
      </c>
      <c r="D178" s="1" t="s">
        <v>32</v>
      </c>
      <c r="E178" s="1" t="s">
        <v>12</v>
      </c>
      <c r="F178">
        <v>18</v>
      </c>
      <c r="G178" s="2">
        <v>56600</v>
      </c>
      <c r="H178">
        <v>4</v>
      </c>
      <c r="I178" s="2">
        <f>_xlfn.XLOOKUP(employee_data[[#This Row],[Job_Title]],market_benchmarks[Job_Title],market_benchmarks[Market_Median],"Not Found")</f>
        <v>72000</v>
      </c>
      <c r="J178" s="3">
        <f>employee_data[[#This Row],[Current_Salary]]/employee_data[[#This Row],[Market_Median]]</f>
        <v>0.78611111111111109</v>
      </c>
      <c r="K178" s="2">
        <f>employee_data[[#This Row],[Current_Salary]]-employee_data[[#This Row],[Market_Median]]</f>
        <v>-15400</v>
      </c>
      <c r="L178" s="3">
        <f>(employee_data[[#This Row],[Current_Salary]]-employee_data[[#This Row],[Market_Median]])/employee_data[[#This Row],[Market_Median]]</f>
        <v>-0.21388888888888888</v>
      </c>
      <c r="M178" t="str" cm="1">
        <f t="array" ref="M17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79" spans="1:13" x14ac:dyDescent="0.3">
      <c r="A179" s="1" t="s">
        <v>213</v>
      </c>
      <c r="B179" s="1" t="s">
        <v>18</v>
      </c>
      <c r="C179" s="1" t="s">
        <v>19</v>
      </c>
      <c r="D179" s="1" t="s">
        <v>16</v>
      </c>
      <c r="E179" s="1" t="s">
        <v>12</v>
      </c>
      <c r="F179">
        <v>9</v>
      </c>
      <c r="G179" s="2">
        <v>88000</v>
      </c>
      <c r="H179">
        <v>3</v>
      </c>
      <c r="I179" s="2">
        <f>_xlfn.XLOOKUP(employee_data[[#This Row],[Job_Title]],market_benchmarks[Job_Title],market_benchmarks[Market_Median],"Not Found")</f>
        <v>90000</v>
      </c>
      <c r="J179" s="3">
        <f>employee_data[[#This Row],[Current_Salary]]/employee_data[[#This Row],[Market_Median]]</f>
        <v>0.97777777777777775</v>
      </c>
      <c r="K179" s="2">
        <f>employee_data[[#This Row],[Current_Salary]]-employee_data[[#This Row],[Market_Median]]</f>
        <v>-2000</v>
      </c>
      <c r="L179" s="3">
        <f>(employee_data[[#This Row],[Current_Salary]]-employee_data[[#This Row],[Market_Median]])/employee_data[[#This Row],[Market_Median]]</f>
        <v>-2.2222222222222223E-2</v>
      </c>
      <c r="M179" t="str" cm="1">
        <f t="array" ref="M17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80" spans="1:13" x14ac:dyDescent="0.3">
      <c r="A180" s="1" t="s">
        <v>214</v>
      </c>
      <c r="B180" s="1" t="s">
        <v>22</v>
      </c>
      <c r="C180" s="1" t="s">
        <v>41</v>
      </c>
      <c r="D180" s="1" t="s">
        <v>16</v>
      </c>
      <c r="E180" s="1" t="s">
        <v>12</v>
      </c>
      <c r="F180">
        <v>14</v>
      </c>
      <c r="G180" s="2">
        <v>87200</v>
      </c>
      <c r="H180">
        <v>3</v>
      </c>
      <c r="I180" s="2">
        <f>_xlfn.XLOOKUP(employee_data[[#This Row],[Job_Title]],market_benchmarks[Job_Title],market_benchmarks[Market_Median],"Not Found")</f>
        <v>85000</v>
      </c>
      <c r="J180" s="3">
        <f>employee_data[[#This Row],[Current_Salary]]/employee_data[[#This Row],[Market_Median]]</f>
        <v>1.0258823529411765</v>
      </c>
      <c r="K180" s="2">
        <f>employee_data[[#This Row],[Current_Salary]]-employee_data[[#This Row],[Market_Median]]</f>
        <v>2200</v>
      </c>
      <c r="L180" s="3">
        <f>(employee_data[[#This Row],[Current_Salary]]-employee_data[[#This Row],[Market_Median]])/employee_data[[#This Row],[Market_Median]]</f>
        <v>2.5882352941176471E-2</v>
      </c>
      <c r="M180" t="str" cm="1">
        <f t="array" ref="M18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81" spans="1:13" x14ac:dyDescent="0.3">
      <c r="A181" s="1" t="s">
        <v>215</v>
      </c>
      <c r="B181" s="1" t="s">
        <v>22</v>
      </c>
      <c r="C181" s="1" t="s">
        <v>36</v>
      </c>
      <c r="D181" s="1" t="s">
        <v>32</v>
      </c>
      <c r="E181" s="1" t="s">
        <v>12</v>
      </c>
      <c r="F181">
        <v>0</v>
      </c>
      <c r="G181" s="2">
        <v>66000</v>
      </c>
      <c r="H181">
        <v>1</v>
      </c>
      <c r="I181" s="2">
        <f>_xlfn.XLOOKUP(employee_data[[#This Row],[Job_Title]],market_benchmarks[Job_Title],market_benchmarks[Market_Median],"Not Found")</f>
        <v>68000</v>
      </c>
      <c r="J181" s="3">
        <f>employee_data[[#This Row],[Current_Salary]]/employee_data[[#This Row],[Market_Median]]</f>
        <v>0.97058823529411764</v>
      </c>
      <c r="K181" s="2">
        <f>employee_data[[#This Row],[Current_Salary]]-employee_data[[#This Row],[Market_Median]]</f>
        <v>-2000</v>
      </c>
      <c r="L181" s="3">
        <f>(employee_data[[#This Row],[Current_Salary]]-employee_data[[#This Row],[Market_Median]])/employee_data[[#This Row],[Market_Median]]</f>
        <v>-2.9411764705882353E-2</v>
      </c>
      <c r="M181" t="str" cm="1">
        <f t="array" ref="M18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82" spans="1:13" x14ac:dyDescent="0.3">
      <c r="A182" s="1" t="s">
        <v>216</v>
      </c>
      <c r="B182" s="1" t="s">
        <v>9</v>
      </c>
      <c r="C182" s="1" t="s">
        <v>25</v>
      </c>
      <c r="D182" s="1" t="s">
        <v>16</v>
      </c>
      <c r="E182" s="1" t="s">
        <v>12</v>
      </c>
      <c r="F182">
        <v>11</v>
      </c>
      <c r="G182" s="2">
        <v>87200</v>
      </c>
      <c r="H182">
        <v>2</v>
      </c>
      <c r="I182" s="2">
        <f>_xlfn.XLOOKUP(employee_data[[#This Row],[Job_Title]],market_benchmarks[Job_Title],market_benchmarks[Market_Median],"Not Found")</f>
        <v>98000</v>
      </c>
      <c r="J182" s="3">
        <f>employee_data[[#This Row],[Current_Salary]]/employee_data[[#This Row],[Market_Median]]</f>
        <v>0.88979591836734695</v>
      </c>
      <c r="K182" s="2">
        <f>employee_data[[#This Row],[Current_Salary]]-employee_data[[#This Row],[Market_Median]]</f>
        <v>-10800</v>
      </c>
      <c r="L182" s="3">
        <f>(employee_data[[#This Row],[Current_Salary]]-employee_data[[#This Row],[Market_Median]])/employee_data[[#This Row],[Market_Median]]</f>
        <v>-0.11020408163265306</v>
      </c>
      <c r="M182" t="str" cm="1">
        <f t="array" ref="M18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83" spans="1:13" x14ac:dyDescent="0.3">
      <c r="A183" s="1" t="s">
        <v>217</v>
      </c>
      <c r="B183" s="1" t="s">
        <v>30</v>
      </c>
      <c r="C183" s="1" t="s">
        <v>31</v>
      </c>
      <c r="D183" s="1" t="s">
        <v>32</v>
      </c>
      <c r="E183" s="1" t="s">
        <v>12</v>
      </c>
      <c r="F183">
        <v>18</v>
      </c>
      <c r="G183" s="2">
        <v>62700</v>
      </c>
      <c r="H183">
        <v>4</v>
      </c>
      <c r="I183" s="2">
        <f>_xlfn.XLOOKUP(employee_data[[#This Row],[Job_Title]],market_benchmarks[Job_Title],market_benchmarks[Market_Median],"Not Found")</f>
        <v>58000</v>
      </c>
      <c r="J183" s="3">
        <f>employee_data[[#This Row],[Current_Salary]]/employee_data[[#This Row],[Market_Median]]</f>
        <v>1.0810344827586207</v>
      </c>
      <c r="K183" s="2">
        <f>employee_data[[#This Row],[Current_Salary]]-employee_data[[#This Row],[Market_Median]]</f>
        <v>4700</v>
      </c>
      <c r="L183" s="3">
        <f>(employee_data[[#This Row],[Current_Salary]]-employee_data[[#This Row],[Market_Median]])/employee_data[[#This Row],[Market_Median]]</f>
        <v>8.1034482758620685E-2</v>
      </c>
      <c r="M183" t="str" cm="1">
        <f t="array" ref="M18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84" spans="1:13" x14ac:dyDescent="0.3">
      <c r="A184" s="1" t="s">
        <v>218</v>
      </c>
      <c r="B184" s="1" t="s">
        <v>30</v>
      </c>
      <c r="C184" s="1" t="s">
        <v>31</v>
      </c>
      <c r="D184" s="1" t="s">
        <v>32</v>
      </c>
      <c r="E184" s="1" t="s">
        <v>12</v>
      </c>
      <c r="F184">
        <v>10</v>
      </c>
      <c r="G184" s="2">
        <v>69800</v>
      </c>
      <c r="H184">
        <v>3</v>
      </c>
      <c r="I184" s="2">
        <f>_xlfn.XLOOKUP(employee_data[[#This Row],[Job_Title]],market_benchmarks[Job_Title],market_benchmarks[Market_Median],"Not Found")</f>
        <v>58000</v>
      </c>
      <c r="J184" s="3">
        <f>employee_data[[#This Row],[Current_Salary]]/employee_data[[#This Row],[Market_Median]]</f>
        <v>1.203448275862069</v>
      </c>
      <c r="K184" s="2">
        <f>employee_data[[#This Row],[Current_Salary]]-employee_data[[#This Row],[Market_Median]]</f>
        <v>11800</v>
      </c>
      <c r="L184" s="3">
        <f>(employee_data[[#This Row],[Current_Salary]]-employee_data[[#This Row],[Market_Median]])/employee_data[[#This Row],[Market_Median]]</f>
        <v>0.20344827586206896</v>
      </c>
      <c r="M184" t="str" cm="1">
        <f t="array" ref="M18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85" spans="1:13" x14ac:dyDescent="0.3">
      <c r="A185" s="1" t="s">
        <v>219</v>
      </c>
      <c r="B185" s="1" t="s">
        <v>18</v>
      </c>
      <c r="C185" s="1" t="s">
        <v>19</v>
      </c>
      <c r="D185" s="1" t="s">
        <v>16</v>
      </c>
      <c r="E185" s="1" t="s">
        <v>12</v>
      </c>
      <c r="F185">
        <v>8</v>
      </c>
      <c r="G185" s="2">
        <v>90200</v>
      </c>
      <c r="H185">
        <v>4</v>
      </c>
      <c r="I185" s="2">
        <f>_xlfn.XLOOKUP(employee_data[[#This Row],[Job_Title]],market_benchmarks[Job_Title],market_benchmarks[Market_Median],"Not Found")</f>
        <v>90000</v>
      </c>
      <c r="J185" s="3">
        <f>employee_data[[#This Row],[Current_Salary]]/employee_data[[#This Row],[Market_Median]]</f>
        <v>1.0022222222222221</v>
      </c>
      <c r="K185" s="2">
        <f>employee_data[[#This Row],[Current_Salary]]-employee_data[[#This Row],[Market_Median]]</f>
        <v>200</v>
      </c>
      <c r="L185" s="3">
        <f>(employee_data[[#This Row],[Current_Salary]]-employee_data[[#This Row],[Market_Median]])/employee_data[[#This Row],[Market_Median]]</f>
        <v>2.2222222222222222E-3</v>
      </c>
      <c r="M185" t="str" cm="1">
        <f t="array" ref="M18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86" spans="1:13" x14ac:dyDescent="0.3">
      <c r="A186" s="1" t="s">
        <v>220</v>
      </c>
      <c r="B186" s="1" t="s">
        <v>38</v>
      </c>
      <c r="C186" s="1" t="s">
        <v>55</v>
      </c>
      <c r="D186" s="1" t="s">
        <v>11</v>
      </c>
      <c r="E186" s="1" t="s">
        <v>12</v>
      </c>
      <c r="F186">
        <v>20</v>
      </c>
      <c r="G186" s="2">
        <v>48300</v>
      </c>
      <c r="H186">
        <v>3</v>
      </c>
      <c r="I186" s="2">
        <f>_xlfn.XLOOKUP(employee_data[[#This Row],[Job_Title]],market_benchmarks[Job_Title],market_benchmarks[Market_Median],"Not Found")</f>
        <v>52000</v>
      </c>
      <c r="J186" s="3">
        <f>employee_data[[#This Row],[Current_Salary]]/employee_data[[#This Row],[Market_Median]]</f>
        <v>0.92884615384615388</v>
      </c>
      <c r="K186" s="2">
        <f>employee_data[[#This Row],[Current_Salary]]-employee_data[[#This Row],[Market_Median]]</f>
        <v>-3700</v>
      </c>
      <c r="L186" s="3">
        <f>(employee_data[[#This Row],[Current_Salary]]-employee_data[[#This Row],[Market_Median]])/employee_data[[#This Row],[Market_Median]]</f>
        <v>-7.1153846153846151E-2</v>
      </c>
      <c r="M186" t="str" cm="1">
        <f t="array" ref="M18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87" spans="1:13" x14ac:dyDescent="0.3">
      <c r="A187" s="1" t="s">
        <v>221</v>
      </c>
      <c r="B187" s="1" t="s">
        <v>38</v>
      </c>
      <c r="C187" s="1" t="s">
        <v>96</v>
      </c>
      <c r="D187" s="1" t="s">
        <v>16</v>
      </c>
      <c r="E187" s="1" t="s">
        <v>12</v>
      </c>
      <c r="F187">
        <v>5</v>
      </c>
      <c r="G187" s="2">
        <v>75300</v>
      </c>
      <c r="H187">
        <v>3</v>
      </c>
      <c r="I187" s="2">
        <f>_xlfn.XLOOKUP(employee_data[[#This Row],[Job_Title]],market_benchmarks[Job_Title],market_benchmarks[Market_Median],"Not Found")</f>
        <v>88000</v>
      </c>
      <c r="J187" s="3">
        <f>employee_data[[#This Row],[Current_Salary]]/employee_data[[#This Row],[Market_Median]]</f>
        <v>0.85568181818181821</v>
      </c>
      <c r="K187" s="2">
        <f>employee_data[[#This Row],[Current_Salary]]-employee_data[[#This Row],[Market_Median]]</f>
        <v>-12700</v>
      </c>
      <c r="L187" s="3">
        <f>(employee_data[[#This Row],[Current_Salary]]-employee_data[[#This Row],[Market_Median]])/employee_data[[#This Row],[Market_Median]]</f>
        <v>-0.14431818181818182</v>
      </c>
      <c r="M187" t="str" cm="1">
        <f t="array" ref="M18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88" spans="1:13" x14ac:dyDescent="0.3">
      <c r="A188" s="1" t="s">
        <v>222</v>
      </c>
      <c r="B188" s="1" t="s">
        <v>38</v>
      </c>
      <c r="C188" s="1" t="s">
        <v>96</v>
      </c>
      <c r="D188" s="1" t="s">
        <v>16</v>
      </c>
      <c r="E188" s="1" t="s">
        <v>12</v>
      </c>
      <c r="F188">
        <v>1</v>
      </c>
      <c r="G188" s="2">
        <v>79700</v>
      </c>
      <c r="H188">
        <v>5</v>
      </c>
      <c r="I188" s="2">
        <f>_xlfn.XLOOKUP(employee_data[[#This Row],[Job_Title]],market_benchmarks[Job_Title],market_benchmarks[Market_Median],"Not Found")</f>
        <v>88000</v>
      </c>
      <c r="J188" s="3">
        <f>employee_data[[#This Row],[Current_Salary]]/employee_data[[#This Row],[Market_Median]]</f>
        <v>0.90568181818181814</v>
      </c>
      <c r="K188" s="2">
        <f>employee_data[[#This Row],[Current_Salary]]-employee_data[[#This Row],[Market_Median]]</f>
        <v>-8300</v>
      </c>
      <c r="L188" s="3">
        <f>(employee_data[[#This Row],[Current_Salary]]-employee_data[[#This Row],[Market_Median]])/employee_data[[#This Row],[Market_Median]]</f>
        <v>-9.4318181818181815E-2</v>
      </c>
      <c r="M188" t="str" cm="1">
        <f t="array" ref="M18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89" spans="1:13" x14ac:dyDescent="0.3">
      <c r="A189" s="1" t="s">
        <v>223</v>
      </c>
      <c r="B189" s="1" t="s">
        <v>14</v>
      </c>
      <c r="C189" s="1" t="s">
        <v>15</v>
      </c>
      <c r="D189" s="1" t="s">
        <v>16</v>
      </c>
      <c r="E189" s="1" t="s">
        <v>12</v>
      </c>
      <c r="F189">
        <v>6</v>
      </c>
      <c r="G189" s="2">
        <v>78600</v>
      </c>
      <c r="H189">
        <v>3</v>
      </c>
      <c r="I189" s="2">
        <f>_xlfn.XLOOKUP(employee_data[[#This Row],[Job_Title]],market_benchmarks[Job_Title],market_benchmarks[Market_Median],"Not Found")</f>
        <v>82000</v>
      </c>
      <c r="J189" s="3">
        <f>employee_data[[#This Row],[Current_Salary]]/employee_data[[#This Row],[Market_Median]]</f>
        <v>0.95853658536585362</v>
      </c>
      <c r="K189" s="2">
        <f>employee_data[[#This Row],[Current_Salary]]-employee_data[[#This Row],[Market_Median]]</f>
        <v>-3400</v>
      </c>
      <c r="L189" s="3">
        <f>(employee_data[[#This Row],[Current_Salary]]-employee_data[[#This Row],[Market_Median]])/employee_data[[#This Row],[Market_Median]]</f>
        <v>-4.1463414634146344E-2</v>
      </c>
      <c r="M189" t="str" cm="1">
        <f t="array" ref="M18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90" spans="1:13" x14ac:dyDescent="0.3">
      <c r="A190" s="1" t="s">
        <v>224</v>
      </c>
      <c r="B190" s="1" t="s">
        <v>18</v>
      </c>
      <c r="C190" s="1" t="s">
        <v>28</v>
      </c>
      <c r="D190" s="1" t="s">
        <v>11</v>
      </c>
      <c r="E190" s="1" t="s">
        <v>12</v>
      </c>
      <c r="F190">
        <v>16</v>
      </c>
      <c r="G190" s="2">
        <v>44700</v>
      </c>
      <c r="H190">
        <v>4</v>
      </c>
      <c r="I190" s="2">
        <f>_xlfn.XLOOKUP(employee_data[[#This Row],[Job_Title]],market_benchmarks[Job_Title],market_benchmarks[Market_Median],"Not Found")</f>
        <v>52000</v>
      </c>
      <c r="J190" s="3">
        <f>employee_data[[#This Row],[Current_Salary]]/employee_data[[#This Row],[Market_Median]]</f>
        <v>0.85961538461538467</v>
      </c>
      <c r="K190" s="2">
        <f>employee_data[[#This Row],[Current_Salary]]-employee_data[[#This Row],[Market_Median]]</f>
        <v>-7300</v>
      </c>
      <c r="L190" s="3">
        <f>(employee_data[[#This Row],[Current_Salary]]-employee_data[[#This Row],[Market_Median]])/employee_data[[#This Row],[Market_Median]]</f>
        <v>-0.14038461538461539</v>
      </c>
      <c r="M190" t="str" cm="1">
        <f t="array" ref="M19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91" spans="1:13" x14ac:dyDescent="0.3">
      <c r="A191" s="1" t="s">
        <v>225</v>
      </c>
      <c r="B191" s="1" t="s">
        <v>38</v>
      </c>
      <c r="C191" s="1" t="s">
        <v>55</v>
      </c>
      <c r="D191" s="1" t="s">
        <v>11</v>
      </c>
      <c r="E191" s="1" t="s">
        <v>12</v>
      </c>
      <c r="F191">
        <v>16</v>
      </c>
      <c r="G191" s="2">
        <v>45700</v>
      </c>
      <c r="H191">
        <v>3</v>
      </c>
      <c r="I191" s="2">
        <f>_xlfn.XLOOKUP(employee_data[[#This Row],[Job_Title]],market_benchmarks[Job_Title],market_benchmarks[Market_Median],"Not Found")</f>
        <v>52000</v>
      </c>
      <c r="J191" s="3">
        <f>employee_data[[#This Row],[Current_Salary]]/employee_data[[#This Row],[Market_Median]]</f>
        <v>0.87884615384615383</v>
      </c>
      <c r="K191" s="2">
        <f>employee_data[[#This Row],[Current_Salary]]-employee_data[[#This Row],[Market_Median]]</f>
        <v>-6300</v>
      </c>
      <c r="L191" s="3">
        <f>(employee_data[[#This Row],[Current_Salary]]-employee_data[[#This Row],[Market_Median]])/employee_data[[#This Row],[Market_Median]]</f>
        <v>-0.12115384615384615</v>
      </c>
      <c r="M191" t="str" cm="1">
        <f t="array" ref="M19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92" spans="1:13" x14ac:dyDescent="0.3">
      <c r="A192" s="1" t="s">
        <v>226</v>
      </c>
      <c r="B192" s="1" t="s">
        <v>9</v>
      </c>
      <c r="C192" s="1" t="s">
        <v>10</v>
      </c>
      <c r="D192" s="1" t="s">
        <v>11</v>
      </c>
      <c r="E192" s="1" t="s">
        <v>12</v>
      </c>
      <c r="F192">
        <v>16</v>
      </c>
      <c r="G192" s="2">
        <v>55700</v>
      </c>
      <c r="H192">
        <v>3</v>
      </c>
      <c r="I192" s="2">
        <f>_xlfn.XLOOKUP(employee_data[[#This Row],[Job_Title]],market_benchmarks[Job_Title],market_benchmarks[Market_Median],"Not Found")</f>
        <v>58000</v>
      </c>
      <c r="J192" s="3">
        <f>employee_data[[#This Row],[Current_Salary]]/employee_data[[#This Row],[Market_Median]]</f>
        <v>0.96034482758620687</v>
      </c>
      <c r="K192" s="2">
        <f>employee_data[[#This Row],[Current_Salary]]-employee_data[[#This Row],[Market_Median]]</f>
        <v>-2300</v>
      </c>
      <c r="L192" s="3">
        <f>(employee_data[[#This Row],[Current_Salary]]-employee_data[[#This Row],[Market_Median]])/employee_data[[#This Row],[Market_Median]]</f>
        <v>-3.9655172413793106E-2</v>
      </c>
      <c r="M192" t="str" cm="1">
        <f t="array" ref="M19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93" spans="1:13" x14ac:dyDescent="0.3">
      <c r="A193" s="1" t="s">
        <v>227</v>
      </c>
      <c r="B193" s="1" t="s">
        <v>30</v>
      </c>
      <c r="C193" s="1" t="s">
        <v>76</v>
      </c>
      <c r="D193" s="1" t="s">
        <v>16</v>
      </c>
      <c r="E193" s="1" t="s">
        <v>12</v>
      </c>
      <c r="F193">
        <v>0</v>
      </c>
      <c r="G193" s="2">
        <v>76500</v>
      </c>
      <c r="H193">
        <v>3</v>
      </c>
      <c r="I193" s="2">
        <f>_xlfn.XLOOKUP(employee_data[[#This Row],[Job_Title]],market_benchmarks[Job_Title],market_benchmarks[Market_Median],"Not Found")</f>
        <v>72000</v>
      </c>
      <c r="J193" s="3">
        <f>employee_data[[#This Row],[Current_Salary]]/employee_data[[#This Row],[Market_Median]]</f>
        <v>1.0625</v>
      </c>
      <c r="K193" s="2">
        <f>employee_data[[#This Row],[Current_Salary]]-employee_data[[#This Row],[Market_Median]]</f>
        <v>4500</v>
      </c>
      <c r="L193" s="3">
        <f>(employee_data[[#This Row],[Current_Salary]]-employee_data[[#This Row],[Market_Median]])/employee_data[[#This Row],[Market_Median]]</f>
        <v>6.25E-2</v>
      </c>
      <c r="M193" t="str" cm="1">
        <f t="array" ref="M19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94" spans="1:13" x14ac:dyDescent="0.3">
      <c r="A194" s="1" t="s">
        <v>228</v>
      </c>
      <c r="B194" s="1" t="s">
        <v>22</v>
      </c>
      <c r="C194" s="1" t="s">
        <v>41</v>
      </c>
      <c r="D194" s="1" t="s">
        <v>16</v>
      </c>
      <c r="E194" s="1" t="s">
        <v>12</v>
      </c>
      <c r="F194">
        <v>18</v>
      </c>
      <c r="G194" s="2">
        <v>79800</v>
      </c>
      <c r="H194">
        <v>3</v>
      </c>
      <c r="I194" s="2">
        <f>_xlfn.XLOOKUP(employee_data[[#This Row],[Job_Title]],market_benchmarks[Job_Title],market_benchmarks[Market_Median],"Not Found")</f>
        <v>85000</v>
      </c>
      <c r="J194" s="3">
        <f>employee_data[[#This Row],[Current_Salary]]/employee_data[[#This Row],[Market_Median]]</f>
        <v>0.93882352941176472</v>
      </c>
      <c r="K194" s="2">
        <f>employee_data[[#This Row],[Current_Salary]]-employee_data[[#This Row],[Market_Median]]</f>
        <v>-5200</v>
      </c>
      <c r="L194" s="3">
        <f>(employee_data[[#This Row],[Current_Salary]]-employee_data[[#This Row],[Market_Median]])/employee_data[[#This Row],[Market_Median]]</f>
        <v>-6.1176470588235297E-2</v>
      </c>
      <c r="M194" t="str" cm="1">
        <f t="array" ref="M19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195" spans="1:13" x14ac:dyDescent="0.3">
      <c r="A195" s="1" t="s">
        <v>229</v>
      </c>
      <c r="B195" s="1" t="s">
        <v>18</v>
      </c>
      <c r="C195" s="1" t="s">
        <v>28</v>
      </c>
      <c r="D195" s="1" t="s">
        <v>11</v>
      </c>
      <c r="E195" s="1" t="s">
        <v>12</v>
      </c>
      <c r="F195">
        <v>12</v>
      </c>
      <c r="G195" s="2">
        <v>50200</v>
      </c>
      <c r="H195">
        <v>3</v>
      </c>
      <c r="I195" s="2">
        <f>_xlfn.XLOOKUP(employee_data[[#This Row],[Job_Title]],market_benchmarks[Job_Title],market_benchmarks[Market_Median],"Not Found")</f>
        <v>52000</v>
      </c>
      <c r="J195" s="3">
        <f>employee_data[[#This Row],[Current_Salary]]/employee_data[[#This Row],[Market_Median]]</f>
        <v>0.9653846153846154</v>
      </c>
      <c r="K195" s="2">
        <f>employee_data[[#This Row],[Current_Salary]]-employee_data[[#This Row],[Market_Median]]</f>
        <v>-1800</v>
      </c>
      <c r="L195" s="3">
        <f>(employee_data[[#This Row],[Current_Salary]]-employee_data[[#This Row],[Market_Median]])/employee_data[[#This Row],[Market_Median]]</f>
        <v>-3.4615384615384617E-2</v>
      </c>
      <c r="M195" t="str" cm="1">
        <f t="array" ref="M19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196" spans="1:13" x14ac:dyDescent="0.3">
      <c r="A196" s="1" t="s">
        <v>230</v>
      </c>
      <c r="B196" s="1" t="s">
        <v>14</v>
      </c>
      <c r="C196" s="1" t="s">
        <v>65</v>
      </c>
      <c r="D196" s="1" t="s">
        <v>32</v>
      </c>
      <c r="E196" s="1" t="s">
        <v>12</v>
      </c>
      <c r="F196">
        <v>0</v>
      </c>
      <c r="G196" s="2">
        <v>74000</v>
      </c>
      <c r="H196">
        <v>4</v>
      </c>
      <c r="I196" s="2">
        <f>_xlfn.XLOOKUP(employee_data[[#This Row],[Job_Title]],market_benchmarks[Job_Title],market_benchmarks[Market_Median],"Not Found")</f>
        <v>68000</v>
      </c>
      <c r="J196" s="3">
        <f>employee_data[[#This Row],[Current_Salary]]/employee_data[[#This Row],[Market_Median]]</f>
        <v>1.088235294117647</v>
      </c>
      <c r="K196" s="2">
        <f>employee_data[[#This Row],[Current_Salary]]-employee_data[[#This Row],[Market_Median]]</f>
        <v>6000</v>
      </c>
      <c r="L196" s="3">
        <f>(employee_data[[#This Row],[Current_Salary]]-employee_data[[#This Row],[Market_Median]])/employee_data[[#This Row],[Market_Median]]</f>
        <v>8.8235294117647065E-2</v>
      </c>
      <c r="M196" t="str" cm="1">
        <f t="array" ref="M19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197" spans="1:13" x14ac:dyDescent="0.3">
      <c r="A197" s="1" t="s">
        <v>231</v>
      </c>
      <c r="B197" s="1" t="s">
        <v>9</v>
      </c>
      <c r="C197" s="1" t="s">
        <v>10</v>
      </c>
      <c r="D197" s="1" t="s">
        <v>11</v>
      </c>
      <c r="E197" s="1" t="s">
        <v>12</v>
      </c>
      <c r="F197">
        <v>17</v>
      </c>
      <c r="G197" s="2">
        <v>39700</v>
      </c>
      <c r="H197">
        <v>3</v>
      </c>
      <c r="I197" s="2">
        <f>_xlfn.XLOOKUP(employee_data[[#This Row],[Job_Title]],market_benchmarks[Job_Title],market_benchmarks[Market_Median],"Not Found")</f>
        <v>58000</v>
      </c>
      <c r="J197" s="3">
        <f>employee_data[[#This Row],[Current_Salary]]/employee_data[[#This Row],[Market_Median]]</f>
        <v>0.68448275862068964</v>
      </c>
      <c r="K197" s="2">
        <f>employee_data[[#This Row],[Current_Salary]]-employee_data[[#This Row],[Market_Median]]</f>
        <v>-18300</v>
      </c>
      <c r="L197" s="3">
        <f>(employee_data[[#This Row],[Current_Salary]]-employee_data[[#This Row],[Market_Median]])/employee_data[[#This Row],[Market_Median]]</f>
        <v>-0.31551724137931036</v>
      </c>
      <c r="M197" t="str" cm="1">
        <f t="array" ref="M197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98" spans="1:13" x14ac:dyDescent="0.3">
      <c r="A198" s="1" t="s">
        <v>232</v>
      </c>
      <c r="B198" s="1" t="s">
        <v>14</v>
      </c>
      <c r="C198" s="1" t="s">
        <v>15</v>
      </c>
      <c r="D198" s="1" t="s">
        <v>16</v>
      </c>
      <c r="E198" s="1" t="s">
        <v>12</v>
      </c>
      <c r="F198">
        <v>3</v>
      </c>
      <c r="G198" s="2">
        <v>66400</v>
      </c>
      <c r="H198">
        <v>3</v>
      </c>
      <c r="I198" s="2">
        <f>_xlfn.XLOOKUP(employee_data[[#This Row],[Job_Title]],market_benchmarks[Job_Title],market_benchmarks[Market_Median],"Not Found")</f>
        <v>82000</v>
      </c>
      <c r="J198" s="3">
        <f>employee_data[[#This Row],[Current_Salary]]/employee_data[[#This Row],[Market_Median]]</f>
        <v>0.80975609756097566</v>
      </c>
      <c r="K198" s="2">
        <f>employee_data[[#This Row],[Current_Salary]]-employee_data[[#This Row],[Market_Median]]</f>
        <v>-15600</v>
      </c>
      <c r="L198" s="3">
        <f>(employee_data[[#This Row],[Current_Salary]]-employee_data[[#This Row],[Market_Median]])/employee_data[[#This Row],[Market_Median]]</f>
        <v>-0.19024390243902439</v>
      </c>
      <c r="M198" t="str" cm="1">
        <f t="array" ref="M19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199" spans="1:13" x14ac:dyDescent="0.3">
      <c r="A199" s="1" t="s">
        <v>233</v>
      </c>
      <c r="B199" s="1" t="s">
        <v>22</v>
      </c>
      <c r="C199" s="1" t="s">
        <v>36</v>
      </c>
      <c r="D199" s="1" t="s">
        <v>32</v>
      </c>
      <c r="E199" s="1" t="s">
        <v>12</v>
      </c>
      <c r="F199">
        <v>0</v>
      </c>
      <c r="G199" s="2">
        <v>59300</v>
      </c>
      <c r="H199">
        <v>1</v>
      </c>
      <c r="I199" s="2">
        <f>_xlfn.XLOOKUP(employee_data[[#This Row],[Job_Title]],market_benchmarks[Job_Title],market_benchmarks[Market_Median],"Not Found")</f>
        <v>68000</v>
      </c>
      <c r="J199" s="3">
        <f>employee_data[[#This Row],[Current_Salary]]/employee_data[[#This Row],[Market_Median]]</f>
        <v>0.87205882352941178</v>
      </c>
      <c r="K199" s="2">
        <f>employee_data[[#This Row],[Current_Salary]]-employee_data[[#This Row],[Market_Median]]</f>
        <v>-8700</v>
      </c>
      <c r="L199" s="3">
        <f>(employee_data[[#This Row],[Current_Salary]]-employee_data[[#This Row],[Market_Median]])/employee_data[[#This Row],[Market_Median]]</f>
        <v>-0.12794117647058822</v>
      </c>
      <c r="M199" t="str" cm="1">
        <f t="array" ref="M19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00" spans="1:13" x14ac:dyDescent="0.3">
      <c r="A200" s="1" t="s">
        <v>234</v>
      </c>
      <c r="B200" s="1" t="s">
        <v>9</v>
      </c>
      <c r="C200" s="1" t="s">
        <v>60</v>
      </c>
      <c r="D200" s="1" t="s">
        <v>32</v>
      </c>
      <c r="E200" s="1" t="s">
        <v>12</v>
      </c>
      <c r="F200">
        <v>6</v>
      </c>
      <c r="G200" s="2">
        <v>79700</v>
      </c>
      <c r="H200">
        <v>4</v>
      </c>
      <c r="I200" s="2">
        <f>_xlfn.XLOOKUP(employee_data[[#This Row],[Job_Title]],market_benchmarks[Job_Title],market_benchmarks[Market_Median],"Not Found")</f>
        <v>78000</v>
      </c>
      <c r="J200" s="3">
        <f>employee_data[[#This Row],[Current_Salary]]/employee_data[[#This Row],[Market_Median]]</f>
        <v>1.0217948717948717</v>
      </c>
      <c r="K200" s="2">
        <f>employee_data[[#This Row],[Current_Salary]]-employee_data[[#This Row],[Market_Median]]</f>
        <v>1700</v>
      </c>
      <c r="L200" s="3">
        <f>(employee_data[[#This Row],[Current_Salary]]-employee_data[[#This Row],[Market_Median]])/employee_data[[#This Row],[Market_Median]]</f>
        <v>2.1794871794871794E-2</v>
      </c>
      <c r="M200" t="str" cm="1">
        <f t="array" ref="M20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01" spans="1:13" x14ac:dyDescent="0.3">
      <c r="A201" s="1" t="s">
        <v>235</v>
      </c>
      <c r="B201" s="1" t="s">
        <v>18</v>
      </c>
      <c r="C201" s="1" t="s">
        <v>43</v>
      </c>
      <c r="D201" s="1" t="s">
        <v>32</v>
      </c>
      <c r="E201" s="1" t="s">
        <v>12</v>
      </c>
      <c r="F201">
        <v>14</v>
      </c>
      <c r="G201" s="2">
        <v>60300</v>
      </c>
      <c r="H201">
        <v>3</v>
      </c>
      <c r="I201" s="2">
        <f>_xlfn.XLOOKUP(employee_data[[#This Row],[Job_Title]],market_benchmarks[Job_Title],market_benchmarks[Market_Median],"Not Found")</f>
        <v>72000</v>
      </c>
      <c r="J201" s="3">
        <f>employee_data[[#This Row],[Current_Salary]]/employee_data[[#This Row],[Market_Median]]</f>
        <v>0.83750000000000002</v>
      </c>
      <c r="K201" s="2">
        <f>employee_data[[#This Row],[Current_Salary]]-employee_data[[#This Row],[Market_Median]]</f>
        <v>-11700</v>
      </c>
      <c r="L201" s="3">
        <f>(employee_data[[#This Row],[Current_Salary]]-employee_data[[#This Row],[Market_Median]])/employee_data[[#This Row],[Market_Median]]</f>
        <v>-0.16250000000000001</v>
      </c>
      <c r="M201" t="str" cm="1">
        <f t="array" ref="M20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02" spans="1:13" x14ac:dyDescent="0.3">
      <c r="A202" s="1" t="s">
        <v>236</v>
      </c>
      <c r="B202" s="1" t="s">
        <v>14</v>
      </c>
      <c r="C202" s="1" t="s">
        <v>48</v>
      </c>
      <c r="D202" s="1" t="s">
        <v>11</v>
      </c>
      <c r="E202" s="1" t="s">
        <v>12</v>
      </c>
      <c r="F202">
        <v>14</v>
      </c>
      <c r="G202" s="2">
        <v>53700</v>
      </c>
      <c r="H202">
        <v>4</v>
      </c>
      <c r="I202" s="2">
        <f>_xlfn.XLOOKUP(employee_data[[#This Row],[Job_Title]],market_benchmarks[Job_Title],market_benchmarks[Market_Median],"Not Found")</f>
        <v>50000</v>
      </c>
      <c r="J202" s="3">
        <f>employee_data[[#This Row],[Current_Salary]]/employee_data[[#This Row],[Market_Median]]</f>
        <v>1.0740000000000001</v>
      </c>
      <c r="K202" s="2">
        <f>employee_data[[#This Row],[Current_Salary]]-employee_data[[#This Row],[Market_Median]]</f>
        <v>3700</v>
      </c>
      <c r="L202" s="3">
        <f>(employee_data[[#This Row],[Current_Salary]]-employee_data[[#This Row],[Market_Median]])/employee_data[[#This Row],[Market_Median]]</f>
        <v>7.3999999999999996E-2</v>
      </c>
      <c r="M202" t="str" cm="1">
        <f t="array" ref="M20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03" spans="1:13" x14ac:dyDescent="0.3">
      <c r="A203" s="1" t="s">
        <v>237</v>
      </c>
      <c r="B203" s="1" t="s">
        <v>9</v>
      </c>
      <c r="C203" s="1" t="s">
        <v>10</v>
      </c>
      <c r="D203" s="1" t="s">
        <v>11</v>
      </c>
      <c r="E203" s="1" t="s">
        <v>12</v>
      </c>
      <c r="F203">
        <v>20</v>
      </c>
      <c r="G203" s="2">
        <v>57500</v>
      </c>
      <c r="H203">
        <v>3</v>
      </c>
      <c r="I203" s="2">
        <f>_xlfn.XLOOKUP(employee_data[[#This Row],[Job_Title]],market_benchmarks[Job_Title],market_benchmarks[Market_Median],"Not Found")</f>
        <v>58000</v>
      </c>
      <c r="J203" s="3">
        <f>employee_data[[#This Row],[Current_Salary]]/employee_data[[#This Row],[Market_Median]]</f>
        <v>0.99137931034482762</v>
      </c>
      <c r="K203" s="2">
        <f>employee_data[[#This Row],[Current_Salary]]-employee_data[[#This Row],[Market_Median]]</f>
        <v>-500</v>
      </c>
      <c r="L203" s="3">
        <f>(employee_data[[#This Row],[Current_Salary]]-employee_data[[#This Row],[Market_Median]])/employee_data[[#This Row],[Market_Median]]</f>
        <v>-8.6206896551724137E-3</v>
      </c>
      <c r="M203" t="str" cm="1">
        <f t="array" ref="M20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04" spans="1:13" x14ac:dyDescent="0.3">
      <c r="A204" s="1" t="s">
        <v>238</v>
      </c>
      <c r="B204" s="1" t="s">
        <v>38</v>
      </c>
      <c r="C204" s="1" t="s">
        <v>96</v>
      </c>
      <c r="D204" s="1" t="s">
        <v>16</v>
      </c>
      <c r="E204" s="1" t="s">
        <v>12</v>
      </c>
      <c r="F204">
        <v>9</v>
      </c>
      <c r="G204" s="2">
        <v>86500</v>
      </c>
      <c r="H204">
        <v>2</v>
      </c>
      <c r="I204" s="2">
        <f>_xlfn.XLOOKUP(employee_data[[#This Row],[Job_Title]],market_benchmarks[Job_Title],market_benchmarks[Market_Median],"Not Found")</f>
        <v>88000</v>
      </c>
      <c r="J204" s="3">
        <f>employee_data[[#This Row],[Current_Salary]]/employee_data[[#This Row],[Market_Median]]</f>
        <v>0.98295454545454541</v>
      </c>
      <c r="K204" s="2">
        <f>employee_data[[#This Row],[Current_Salary]]-employee_data[[#This Row],[Market_Median]]</f>
        <v>-1500</v>
      </c>
      <c r="L204" s="3">
        <f>(employee_data[[#This Row],[Current_Salary]]-employee_data[[#This Row],[Market_Median]])/employee_data[[#This Row],[Market_Median]]</f>
        <v>-1.7045454545454544E-2</v>
      </c>
      <c r="M204" t="str" cm="1">
        <f t="array" ref="M20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05" spans="1:13" x14ac:dyDescent="0.3">
      <c r="A205" s="1" t="s">
        <v>239</v>
      </c>
      <c r="B205" s="1" t="s">
        <v>9</v>
      </c>
      <c r="C205" s="1" t="s">
        <v>60</v>
      </c>
      <c r="D205" s="1" t="s">
        <v>32</v>
      </c>
      <c r="E205" s="1" t="s">
        <v>12</v>
      </c>
      <c r="F205">
        <v>1</v>
      </c>
      <c r="G205" s="2">
        <v>64300</v>
      </c>
      <c r="H205">
        <v>5</v>
      </c>
      <c r="I205" s="2">
        <f>_xlfn.XLOOKUP(employee_data[[#This Row],[Job_Title]],market_benchmarks[Job_Title],market_benchmarks[Market_Median],"Not Found")</f>
        <v>78000</v>
      </c>
      <c r="J205" s="3">
        <f>employee_data[[#This Row],[Current_Salary]]/employee_data[[#This Row],[Market_Median]]</f>
        <v>0.82435897435897432</v>
      </c>
      <c r="K205" s="2">
        <f>employee_data[[#This Row],[Current_Salary]]-employee_data[[#This Row],[Market_Median]]</f>
        <v>-13700</v>
      </c>
      <c r="L205" s="3">
        <f>(employee_data[[#This Row],[Current_Salary]]-employee_data[[#This Row],[Market_Median]])/employee_data[[#This Row],[Market_Median]]</f>
        <v>-0.17564102564102563</v>
      </c>
      <c r="M205" t="str" cm="1">
        <f t="array" ref="M20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06" spans="1:13" x14ac:dyDescent="0.3">
      <c r="A206" s="1" t="s">
        <v>240</v>
      </c>
      <c r="B206" s="1" t="s">
        <v>18</v>
      </c>
      <c r="C206" s="1" t="s">
        <v>19</v>
      </c>
      <c r="D206" s="1" t="s">
        <v>16</v>
      </c>
      <c r="E206" s="1" t="s">
        <v>12</v>
      </c>
      <c r="F206">
        <v>9</v>
      </c>
      <c r="G206" s="2">
        <v>82500</v>
      </c>
      <c r="H206">
        <v>4</v>
      </c>
      <c r="I206" s="2">
        <f>_xlfn.XLOOKUP(employee_data[[#This Row],[Job_Title]],market_benchmarks[Job_Title],market_benchmarks[Market_Median],"Not Found")</f>
        <v>90000</v>
      </c>
      <c r="J206" s="3">
        <f>employee_data[[#This Row],[Current_Salary]]/employee_data[[#This Row],[Market_Median]]</f>
        <v>0.91666666666666663</v>
      </c>
      <c r="K206" s="2">
        <f>employee_data[[#This Row],[Current_Salary]]-employee_data[[#This Row],[Market_Median]]</f>
        <v>-7500</v>
      </c>
      <c r="L206" s="3">
        <f>(employee_data[[#This Row],[Current_Salary]]-employee_data[[#This Row],[Market_Median]])/employee_data[[#This Row],[Market_Median]]</f>
        <v>-8.3333333333333329E-2</v>
      </c>
      <c r="M206" t="str" cm="1">
        <f t="array" ref="M20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07" spans="1:13" x14ac:dyDescent="0.3">
      <c r="A207" s="1" t="s">
        <v>241</v>
      </c>
      <c r="B207" s="1" t="s">
        <v>9</v>
      </c>
      <c r="C207" s="1" t="s">
        <v>10</v>
      </c>
      <c r="D207" s="1" t="s">
        <v>11</v>
      </c>
      <c r="E207" s="1" t="s">
        <v>12</v>
      </c>
      <c r="F207">
        <v>4</v>
      </c>
      <c r="G207" s="2">
        <v>54500</v>
      </c>
      <c r="H207">
        <v>3</v>
      </c>
      <c r="I207" s="2">
        <f>_xlfn.XLOOKUP(employee_data[[#This Row],[Job_Title]],market_benchmarks[Job_Title],market_benchmarks[Market_Median],"Not Found")</f>
        <v>58000</v>
      </c>
      <c r="J207" s="3">
        <f>employee_data[[#This Row],[Current_Salary]]/employee_data[[#This Row],[Market_Median]]</f>
        <v>0.93965517241379315</v>
      </c>
      <c r="K207" s="2">
        <f>employee_data[[#This Row],[Current_Salary]]-employee_data[[#This Row],[Market_Median]]</f>
        <v>-3500</v>
      </c>
      <c r="L207" s="3">
        <f>(employee_data[[#This Row],[Current_Salary]]-employee_data[[#This Row],[Market_Median]])/employee_data[[#This Row],[Market_Median]]</f>
        <v>-6.0344827586206899E-2</v>
      </c>
      <c r="M207" t="str" cm="1">
        <f t="array" ref="M20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08" spans="1:13" x14ac:dyDescent="0.3">
      <c r="A208" s="1" t="s">
        <v>242</v>
      </c>
      <c r="B208" s="1" t="s">
        <v>22</v>
      </c>
      <c r="C208" s="1" t="s">
        <v>23</v>
      </c>
      <c r="D208" s="1" t="s">
        <v>11</v>
      </c>
      <c r="E208" s="1" t="s">
        <v>12</v>
      </c>
      <c r="F208">
        <v>1</v>
      </c>
      <c r="G208" s="2">
        <v>45700</v>
      </c>
      <c r="H208">
        <v>4</v>
      </c>
      <c r="I208" s="2">
        <f>_xlfn.XLOOKUP(employee_data[[#This Row],[Job_Title]],market_benchmarks[Job_Title],market_benchmarks[Market_Median],"Not Found")</f>
        <v>50000</v>
      </c>
      <c r="J208" s="3">
        <f>employee_data[[#This Row],[Current_Salary]]/employee_data[[#This Row],[Market_Median]]</f>
        <v>0.91400000000000003</v>
      </c>
      <c r="K208" s="2">
        <f>employee_data[[#This Row],[Current_Salary]]-employee_data[[#This Row],[Market_Median]]</f>
        <v>-4300</v>
      </c>
      <c r="L208" s="3">
        <f>(employee_data[[#This Row],[Current_Salary]]-employee_data[[#This Row],[Market_Median]])/employee_data[[#This Row],[Market_Median]]</f>
        <v>-8.5999999999999993E-2</v>
      </c>
      <c r="M208" t="str" cm="1">
        <f t="array" ref="M20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09" spans="1:13" x14ac:dyDescent="0.3">
      <c r="A209" s="1" t="s">
        <v>243</v>
      </c>
      <c r="B209" s="1" t="s">
        <v>22</v>
      </c>
      <c r="C209" s="1" t="s">
        <v>41</v>
      </c>
      <c r="D209" s="1" t="s">
        <v>16</v>
      </c>
      <c r="E209" s="1" t="s">
        <v>12</v>
      </c>
      <c r="F209">
        <v>13</v>
      </c>
      <c r="G209" s="2">
        <v>82900</v>
      </c>
      <c r="H209">
        <v>3</v>
      </c>
      <c r="I209" s="2">
        <f>_xlfn.XLOOKUP(employee_data[[#This Row],[Job_Title]],market_benchmarks[Job_Title],market_benchmarks[Market_Median],"Not Found")</f>
        <v>85000</v>
      </c>
      <c r="J209" s="3">
        <f>employee_data[[#This Row],[Current_Salary]]/employee_data[[#This Row],[Market_Median]]</f>
        <v>0.97529411764705887</v>
      </c>
      <c r="K209" s="2">
        <f>employee_data[[#This Row],[Current_Salary]]-employee_data[[#This Row],[Market_Median]]</f>
        <v>-2100</v>
      </c>
      <c r="L209" s="3">
        <f>(employee_data[[#This Row],[Current_Salary]]-employee_data[[#This Row],[Market_Median]])/employee_data[[#This Row],[Market_Median]]</f>
        <v>-2.4705882352941175E-2</v>
      </c>
      <c r="M209" t="str" cm="1">
        <f t="array" ref="M20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0" spans="1:13" x14ac:dyDescent="0.3">
      <c r="A210" s="1" t="s">
        <v>244</v>
      </c>
      <c r="B210" s="1" t="s">
        <v>30</v>
      </c>
      <c r="C210" s="1" t="s">
        <v>31</v>
      </c>
      <c r="D210" s="1" t="s">
        <v>32</v>
      </c>
      <c r="E210" s="1" t="s">
        <v>12</v>
      </c>
      <c r="F210">
        <v>18</v>
      </c>
      <c r="G210" s="2">
        <v>60100</v>
      </c>
      <c r="H210">
        <v>3</v>
      </c>
      <c r="I210" s="2">
        <f>_xlfn.XLOOKUP(employee_data[[#This Row],[Job_Title]],market_benchmarks[Job_Title],market_benchmarks[Market_Median],"Not Found")</f>
        <v>58000</v>
      </c>
      <c r="J210" s="3">
        <f>employee_data[[#This Row],[Current_Salary]]/employee_data[[#This Row],[Market_Median]]</f>
        <v>1.0362068965517242</v>
      </c>
      <c r="K210" s="2">
        <f>employee_data[[#This Row],[Current_Salary]]-employee_data[[#This Row],[Market_Median]]</f>
        <v>2100</v>
      </c>
      <c r="L210" s="3">
        <f>(employee_data[[#This Row],[Current_Salary]]-employee_data[[#This Row],[Market_Median]])/employee_data[[#This Row],[Market_Median]]</f>
        <v>3.6206896551724141E-2</v>
      </c>
      <c r="M210" t="str" cm="1">
        <f t="array" ref="M21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1" spans="1:13" x14ac:dyDescent="0.3">
      <c r="A211" s="1" t="s">
        <v>245</v>
      </c>
      <c r="B211" s="1" t="s">
        <v>30</v>
      </c>
      <c r="C211" s="1" t="s">
        <v>76</v>
      </c>
      <c r="D211" s="1" t="s">
        <v>16</v>
      </c>
      <c r="E211" s="1" t="s">
        <v>12</v>
      </c>
      <c r="F211">
        <v>8</v>
      </c>
      <c r="G211" s="2">
        <v>76000</v>
      </c>
      <c r="H211">
        <v>2</v>
      </c>
      <c r="I211" s="2">
        <f>_xlfn.XLOOKUP(employee_data[[#This Row],[Job_Title]],market_benchmarks[Job_Title],market_benchmarks[Market_Median],"Not Found")</f>
        <v>72000</v>
      </c>
      <c r="J211" s="3">
        <f>employee_data[[#This Row],[Current_Salary]]/employee_data[[#This Row],[Market_Median]]</f>
        <v>1.0555555555555556</v>
      </c>
      <c r="K211" s="2">
        <f>employee_data[[#This Row],[Current_Salary]]-employee_data[[#This Row],[Market_Median]]</f>
        <v>4000</v>
      </c>
      <c r="L211" s="3">
        <f>(employee_data[[#This Row],[Current_Salary]]-employee_data[[#This Row],[Market_Median]])/employee_data[[#This Row],[Market_Median]]</f>
        <v>5.5555555555555552E-2</v>
      </c>
      <c r="M211" t="str" cm="1">
        <f t="array" ref="M21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12" spans="1:13" x14ac:dyDescent="0.3">
      <c r="A212" s="1" t="s">
        <v>246</v>
      </c>
      <c r="B212" s="1" t="s">
        <v>14</v>
      </c>
      <c r="C212" s="1" t="s">
        <v>65</v>
      </c>
      <c r="D212" s="1" t="s">
        <v>32</v>
      </c>
      <c r="E212" s="1" t="s">
        <v>12</v>
      </c>
      <c r="F212">
        <v>3</v>
      </c>
      <c r="G212" s="2">
        <v>66600</v>
      </c>
      <c r="H212">
        <v>2</v>
      </c>
      <c r="I212" s="2">
        <f>_xlfn.XLOOKUP(employee_data[[#This Row],[Job_Title]],market_benchmarks[Job_Title],market_benchmarks[Market_Median],"Not Found")</f>
        <v>68000</v>
      </c>
      <c r="J212" s="3">
        <f>employee_data[[#This Row],[Current_Salary]]/employee_data[[#This Row],[Market_Median]]</f>
        <v>0.97941176470588232</v>
      </c>
      <c r="K212" s="2">
        <f>employee_data[[#This Row],[Current_Salary]]-employee_data[[#This Row],[Market_Median]]</f>
        <v>-1400</v>
      </c>
      <c r="L212" s="3">
        <f>(employee_data[[#This Row],[Current_Salary]]-employee_data[[#This Row],[Market_Median]])/employee_data[[#This Row],[Market_Median]]</f>
        <v>-2.0588235294117647E-2</v>
      </c>
      <c r="M212" t="str" cm="1">
        <f t="array" ref="M21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3" spans="1:13" x14ac:dyDescent="0.3">
      <c r="A213" s="1" t="s">
        <v>247</v>
      </c>
      <c r="B213" s="1" t="s">
        <v>18</v>
      </c>
      <c r="C213" s="1" t="s">
        <v>19</v>
      </c>
      <c r="D213" s="1" t="s">
        <v>16</v>
      </c>
      <c r="E213" s="1" t="s">
        <v>12</v>
      </c>
      <c r="F213">
        <v>5</v>
      </c>
      <c r="G213" s="2">
        <v>91100</v>
      </c>
      <c r="H213">
        <v>5</v>
      </c>
      <c r="I213" s="2">
        <f>_xlfn.XLOOKUP(employee_data[[#This Row],[Job_Title]],market_benchmarks[Job_Title],market_benchmarks[Market_Median],"Not Found")</f>
        <v>90000</v>
      </c>
      <c r="J213" s="3">
        <f>employee_data[[#This Row],[Current_Salary]]/employee_data[[#This Row],[Market_Median]]</f>
        <v>1.0122222222222221</v>
      </c>
      <c r="K213" s="2">
        <f>employee_data[[#This Row],[Current_Salary]]-employee_data[[#This Row],[Market_Median]]</f>
        <v>1100</v>
      </c>
      <c r="L213" s="3">
        <f>(employee_data[[#This Row],[Current_Salary]]-employee_data[[#This Row],[Market_Median]])/employee_data[[#This Row],[Market_Median]]</f>
        <v>1.2222222222222223E-2</v>
      </c>
      <c r="M213" t="str" cm="1">
        <f t="array" ref="M21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4" spans="1:13" x14ac:dyDescent="0.3">
      <c r="A214" s="1" t="s">
        <v>248</v>
      </c>
      <c r="B214" s="1" t="s">
        <v>18</v>
      </c>
      <c r="C214" s="1" t="s">
        <v>43</v>
      </c>
      <c r="D214" s="1" t="s">
        <v>32</v>
      </c>
      <c r="E214" s="1" t="s">
        <v>12</v>
      </c>
      <c r="F214">
        <v>3</v>
      </c>
      <c r="G214" s="2">
        <v>67300</v>
      </c>
      <c r="H214">
        <v>3</v>
      </c>
      <c r="I214" s="2">
        <f>_xlfn.XLOOKUP(employee_data[[#This Row],[Job_Title]],market_benchmarks[Job_Title],market_benchmarks[Market_Median],"Not Found")</f>
        <v>72000</v>
      </c>
      <c r="J214" s="3">
        <f>employee_data[[#This Row],[Current_Salary]]/employee_data[[#This Row],[Market_Median]]</f>
        <v>0.93472222222222223</v>
      </c>
      <c r="K214" s="2">
        <f>employee_data[[#This Row],[Current_Salary]]-employee_data[[#This Row],[Market_Median]]</f>
        <v>-4700</v>
      </c>
      <c r="L214" s="3">
        <f>(employee_data[[#This Row],[Current_Salary]]-employee_data[[#This Row],[Market_Median]])/employee_data[[#This Row],[Market_Median]]</f>
        <v>-6.5277777777777782E-2</v>
      </c>
      <c r="M214" t="str" cm="1">
        <f t="array" ref="M21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15" spans="1:13" x14ac:dyDescent="0.3">
      <c r="A215" s="1" t="s">
        <v>249</v>
      </c>
      <c r="B215" s="1" t="s">
        <v>22</v>
      </c>
      <c r="C215" s="1" t="s">
        <v>36</v>
      </c>
      <c r="D215" s="1" t="s">
        <v>32</v>
      </c>
      <c r="E215" s="1" t="s">
        <v>12</v>
      </c>
      <c r="F215">
        <v>11</v>
      </c>
      <c r="G215" s="2">
        <v>60000</v>
      </c>
      <c r="H215">
        <v>3</v>
      </c>
      <c r="I215" s="2">
        <f>_xlfn.XLOOKUP(employee_data[[#This Row],[Job_Title]],market_benchmarks[Job_Title],market_benchmarks[Market_Median],"Not Found")</f>
        <v>68000</v>
      </c>
      <c r="J215" s="3">
        <f>employee_data[[#This Row],[Current_Salary]]/employee_data[[#This Row],[Market_Median]]</f>
        <v>0.88235294117647056</v>
      </c>
      <c r="K215" s="2">
        <f>employee_data[[#This Row],[Current_Salary]]-employee_data[[#This Row],[Market_Median]]</f>
        <v>-8000</v>
      </c>
      <c r="L215" s="3">
        <f>(employee_data[[#This Row],[Current_Salary]]-employee_data[[#This Row],[Market_Median]])/employee_data[[#This Row],[Market_Median]]</f>
        <v>-0.11764705882352941</v>
      </c>
      <c r="M215" t="str" cm="1">
        <f t="array" ref="M21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16" spans="1:13" x14ac:dyDescent="0.3">
      <c r="A216" s="1" t="s">
        <v>250</v>
      </c>
      <c r="B216" s="1" t="s">
        <v>38</v>
      </c>
      <c r="C216" s="1" t="s">
        <v>39</v>
      </c>
      <c r="D216" s="1" t="s">
        <v>32</v>
      </c>
      <c r="E216" s="1" t="s">
        <v>12</v>
      </c>
      <c r="F216">
        <v>20</v>
      </c>
      <c r="G216" s="2">
        <v>72900</v>
      </c>
      <c r="H216">
        <v>3</v>
      </c>
      <c r="I216" s="2">
        <f>_xlfn.XLOOKUP(employee_data[[#This Row],[Job_Title]],market_benchmarks[Job_Title],market_benchmarks[Market_Median],"Not Found")</f>
        <v>70000</v>
      </c>
      <c r="J216" s="3">
        <f>employee_data[[#This Row],[Current_Salary]]/employee_data[[#This Row],[Market_Median]]</f>
        <v>1.0414285714285714</v>
      </c>
      <c r="K216" s="2">
        <f>employee_data[[#This Row],[Current_Salary]]-employee_data[[#This Row],[Market_Median]]</f>
        <v>2900</v>
      </c>
      <c r="L216" s="3">
        <f>(employee_data[[#This Row],[Current_Salary]]-employee_data[[#This Row],[Market_Median]])/employee_data[[#This Row],[Market_Median]]</f>
        <v>4.1428571428571426E-2</v>
      </c>
      <c r="M216" t="str" cm="1">
        <f t="array" ref="M21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17" spans="1:13" x14ac:dyDescent="0.3">
      <c r="A217" s="1" t="s">
        <v>251</v>
      </c>
      <c r="B217" s="1" t="s">
        <v>38</v>
      </c>
      <c r="C217" s="1" t="s">
        <v>55</v>
      </c>
      <c r="D217" s="1" t="s">
        <v>11</v>
      </c>
      <c r="E217" s="1" t="s">
        <v>12</v>
      </c>
      <c r="F217">
        <v>20</v>
      </c>
      <c r="G217" s="2">
        <v>44600</v>
      </c>
      <c r="H217">
        <v>3</v>
      </c>
      <c r="I217" s="2">
        <f>_xlfn.XLOOKUP(employee_data[[#This Row],[Job_Title]],market_benchmarks[Job_Title],market_benchmarks[Market_Median],"Not Found")</f>
        <v>52000</v>
      </c>
      <c r="J217" s="3">
        <f>employee_data[[#This Row],[Current_Salary]]/employee_data[[#This Row],[Market_Median]]</f>
        <v>0.85769230769230764</v>
      </c>
      <c r="K217" s="2">
        <f>employee_data[[#This Row],[Current_Salary]]-employee_data[[#This Row],[Market_Median]]</f>
        <v>-7400</v>
      </c>
      <c r="L217" s="3">
        <f>(employee_data[[#This Row],[Current_Salary]]-employee_data[[#This Row],[Market_Median]])/employee_data[[#This Row],[Market_Median]]</f>
        <v>-0.1423076923076923</v>
      </c>
      <c r="M217" t="str" cm="1">
        <f t="array" ref="M21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18" spans="1:13" x14ac:dyDescent="0.3">
      <c r="A218" s="1" t="s">
        <v>252</v>
      </c>
      <c r="B218" s="1" t="s">
        <v>18</v>
      </c>
      <c r="C218" s="1" t="s">
        <v>28</v>
      </c>
      <c r="D218" s="1" t="s">
        <v>11</v>
      </c>
      <c r="E218" s="1" t="s">
        <v>12</v>
      </c>
      <c r="F218">
        <v>20</v>
      </c>
      <c r="G218" s="2">
        <v>46200</v>
      </c>
      <c r="H218">
        <v>3</v>
      </c>
      <c r="I218" s="2">
        <f>_xlfn.XLOOKUP(employee_data[[#This Row],[Job_Title]],market_benchmarks[Job_Title],market_benchmarks[Market_Median],"Not Found")</f>
        <v>52000</v>
      </c>
      <c r="J218" s="3">
        <f>employee_data[[#This Row],[Current_Salary]]/employee_data[[#This Row],[Market_Median]]</f>
        <v>0.88846153846153841</v>
      </c>
      <c r="K218" s="2">
        <f>employee_data[[#This Row],[Current_Salary]]-employee_data[[#This Row],[Market_Median]]</f>
        <v>-5800</v>
      </c>
      <c r="L218" s="3">
        <f>(employee_data[[#This Row],[Current_Salary]]-employee_data[[#This Row],[Market_Median]])/employee_data[[#This Row],[Market_Median]]</f>
        <v>-0.11153846153846154</v>
      </c>
      <c r="M218" t="str" cm="1">
        <f t="array" ref="M21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19" spans="1:13" x14ac:dyDescent="0.3">
      <c r="A219" s="1" t="s">
        <v>253</v>
      </c>
      <c r="B219" s="1" t="s">
        <v>9</v>
      </c>
      <c r="C219" s="1" t="s">
        <v>60</v>
      </c>
      <c r="D219" s="1" t="s">
        <v>32</v>
      </c>
      <c r="E219" s="1" t="s">
        <v>12</v>
      </c>
      <c r="F219">
        <v>10</v>
      </c>
      <c r="G219" s="2">
        <v>74300</v>
      </c>
      <c r="H219">
        <v>3</v>
      </c>
      <c r="I219" s="2">
        <f>_xlfn.XLOOKUP(employee_data[[#This Row],[Job_Title]],market_benchmarks[Job_Title],market_benchmarks[Market_Median],"Not Found")</f>
        <v>78000</v>
      </c>
      <c r="J219" s="3">
        <f>employee_data[[#This Row],[Current_Salary]]/employee_data[[#This Row],[Market_Median]]</f>
        <v>0.95256410256410251</v>
      </c>
      <c r="K219" s="2">
        <f>employee_data[[#This Row],[Current_Salary]]-employee_data[[#This Row],[Market_Median]]</f>
        <v>-3700</v>
      </c>
      <c r="L219" s="3">
        <f>(employee_data[[#This Row],[Current_Salary]]-employee_data[[#This Row],[Market_Median]])/employee_data[[#This Row],[Market_Median]]</f>
        <v>-4.7435897435897434E-2</v>
      </c>
      <c r="M219" t="str" cm="1">
        <f t="array" ref="M21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20" spans="1:13" x14ac:dyDescent="0.3">
      <c r="A220" s="1" t="s">
        <v>254</v>
      </c>
      <c r="B220" s="1" t="s">
        <v>18</v>
      </c>
      <c r="C220" s="1" t="s">
        <v>19</v>
      </c>
      <c r="D220" s="1" t="s">
        <v>16</v>
      </c>
      <c r="E220" s="1" t="s">
        <v>12</v>
      </c>
      <c r="F220">
        <v>20</v>
      </c>
      <c r="G220" s="2">
        <v>92900</v>
      </c>
      <c r="H220">
        <v>4</v>
      </c>
      <c r="I220" s="2">
        <f>_xlfn.XLOOKUP(employee_data[[#This Row],[Job_Title]],market_benchmarks[Job_Title],market_benchmarks[Market_Median],"Not Found")</f>
        <v>90000</v>
      </c>
      <c r="J220" s="3">
        <f>employee_data[[#This Row],[Current_Salary]]/employee_data[[#This Row],[Market_Median]]</f>
        <v>1.0322222222222222</v>
      </c>
      <c r="K220" s="2">
        <f>employee_data[[#This Row],[Current_Salary]]-employee_data[[#This Row],[Market_Median]]</f>
        <v>2900</v>
      </c>
      <c r="L220" s="3">
        <f>(employee_data[[#This Row],[Current_Salary]]-employee_data[[#This Row],[Market_Median]])/employee_data[[#This Row],[Market_Median]]</f>
        <v>3.2222222222222222E-2</v>
      </c>
      <c r="M220" t="str" cm="1">
        <f t="array" ref="M22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21" spans="1:13" x14ac:dyDescent="0.3">
      <c r="A221" s="1" t="s">
        <v>255</v>
      </c>
      <c r="B221" s="1" t="s">
        <v>14</v>
      </c>
      <c r="C221" s="1" t="s">
        <v>15</v>
      </c>
      <c r="D221" s="1" t="s">
        <v>16</v>
      </c>
      <c r="E221" s="1" t="s">
        <v>12</v>
      </c>
      <c r="F221">
        <v>7</v>
      </c>
      <c r="G221" s="2">
        <v>76900</v>
      </c>
      <c r="H221">
        <v>3</v>
      </c>
      <c r="I221" s="2">
        <f>_xlfn.XLOOKUP(employee_data[[#This Row],[Job_Title]],market_benchmarks[Job_Title],market_benchmarks[Market_Median],"Not Found")</f>
        <v>82000</v>
      </c>
      <c r="J221" s="3">
        <f>employee_data[[#This Row],[Current_Salary]]/employee_data[[#This Row],[Market_Median]]</f>
        <v>0.93780487804878043</v>
      </c>
      <c r="K221" s="2">
        <f>employee_data[[#This Row],[Current_Salary]]-employee_data[[#This Row],[Market_Median]]</f>
        <v>-5100</v>
      </c>
      <c r="L221" s="3">
        <f>(employee_data[[#This Row],[Current_Salary]]-employee_data[[#This Row],[Market_Median]])/employee_data[[#This Row],[Market_Median]]</f>
        <v>-6.2195121951219512E-2</v>
      </c>
      <c r="M221" t="str" cm="1">
        <f t="array" ref="M22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22" spans="1:13" x14ac:dyDescent="0.3">
      <c r="A222" s="1" t="s">
        <v>256</v>
      </c>
      <c r="B222" s="1" t="s">
        <v>38</v>
      </c>
      <c r="C222" s="1" t="s">
        <v>96</v>
      </c>
      <c r="D222" s="1" t="s">
        <v>16</v>
      </c>
      <c r="E222" s="1" t="s">
        <v>12</v>
      </c>
      <c r="F222">
        <v>14</v>
      </c>
      <c r="G222" s="2">
        <v>83200</v>
      </c>
      <c r="H222">
        <v>5</v>
      </c>
      <c r="I222" s="2">
        <f>_xlfn.XLOOKUP(employee_data[[#This Row],[Job_Title]],market_benchmarks[Job_Title],market_benchmarks[Market_Median],"Not Found")</f>
        <v>88000</v>
      </c>
      <c r="J222" s="3">
        <f>employee_data[[#This Row],[Current_Salary]]/employee_data[[#This Row],[Market_Median]]</f>
        <v>0.94545454545454544</v>
      </c>
      <c r="K222" s="2">
        <f>employee_data[[#This Row],[Current_Salary]]-employee_data[[#This Row],[Market_Median]]</f>
        <v>-4800</v>
      </c>
      <c r="L222" s="3">
        <f>(employee_data[[#This Row],[Current_Salary]]-employee_data[[#This Row],[Market_Median]])/employee_data[[#This Row],[Market_Median]]</f>
        <v>-5.4545454545454543E-2</v>
      </c>
      <c r="M222" t="str" cm="1">
        <f t="array" ref="M22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23" spans="1:13" x14ac:dyDescent="0.3">
      <c r="A223" s="1" t="s">
        <v>257</v>
      </c>
      <c r="B223" s="1" t="s">
        <v>38</v>
      </c>
      <c r="C223" s="1" t="s">
        <v>96</v>
      </c>
      <c r="D223" s="1" t="s">
        <v>16</v>
      </c>
      <c r="E223" s="1" t="s">
        <v>12</v>
      </c>
      <c r="F223">
        <v>19</v>
      </c>
      <c r="G223" s="2">
        <v>73800</v>
      </c>
      <c r="H223">
        <v>3</v>
      </c>
      <c r="I223" s="2">
        <f>_xlfn.XLOOKUP(employee_data[[#This Row],[Job_Title]],market_benchmarks[Job_Title],market_benchmarks[Market_Median],"Not Found")</f>
        <v>88000</v>
      </c>
      <c r="J223" s="3">
        <f>employee_data[[#This Row],[Current_Salary]]/employee_data[[#This Row],[Market_Median]]</f>
        <v>0.83863636363636362</v>
      </c>
      <c r="K223" s="2">
        <f>employee_data[[#This Row],[Current_Salary]]-employee_data[[#This Row],[Market_Median]]</f>
        <v>-14200</v>
      </c>
      <c r="L223" s="3">
        <f>(employee_data[[#This Row],[Current_Salary]]-employee_data[[#This Row],[Market_Median]])/employee_data[[#This Row],[Market_Median]]</f>
        <v>-0.16136363636363638</v>
      </c>
      <c r="M223" t="str" cm="1">
        <f t="array" ref="M22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24" spans="1:13" x14ac:dyDescent="0.3">
      <c r="A224" s="1" t="s">
        <v>258</v>
      </c>
      <c r="B224" s="1" t="s">
        <v>9</v>
      </c>
      <c r="C224" s="1" t="s">
        <v>25</v>
      </c>
      <c r="D224" s="1" t="s">
        <v>16</v>
      </c>
      <c r="E224" s="1" t="s">
        <v>12</v>
      </c>
      <c r="F224">
        <v>16</v>
      </c>
      <c r="G224" s="2">
        <v>76500</v>
      </c>
      <c r="H224">
        <v>3</v>
      </c>
      <c r="I224" s="2">
        <f>_xlfn.XLOOKUP(employee_data[[#This Row],[Job_Title]],market_benchmarks[Job_Title],market_benchmarks[Market_Median],"Not Found")</f>
        <v>98000</v>
      </c>
      <c r="J224" s="3">
        <f>employee_data[[#This Row],[Current_Salary]]/employee_data[[#This Row],[Market_Median]]</f>
        <v>0.78061224489795922</v>
      </c>
      <c r="K224" s="2">
        <f>employee_data[[#This Row],[Current_Salary]]-employee_data[[#This Row],[Market_Median]]</f>
        <v>-21500</v>
      </c>
      <c r="L224" s="3">
        <f>(employee_data[[#This Row],[Current_Salary]]-employee_data[[#This Row],[Market_Median]])/employee_data[[#This Row],[Market_Median]]</f>
        <v>-0.21938775510204081</v>
      </c>
      <c r="M224" t="str" cm="1">
        <f t="array" ref="M22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25" spans="1:13" x14ac:dyDescent="0.3">
      <c r="A225" s="1" t="s">
        <v>259</v>
      </c>
      <c r="B225" s="1" t="s">
        <v>38</v>
      </c>
      <c r="C225" s="1" t="s">
        <v>39</v>
      </c>
      <c r="D225" s="1" t="s">
        <v>32</v>
      </c>
      <c r="E225" s="1" t="s">
        <v>12</v>
      </c>
      <c r="F225">
        <v>20</v>
      </c>
      <c r="G225" s="2">
        <v>73400</v>
      </c>
      <c r="H225">
        <v>3</v>
      </c>
      <c r="I225" s="2">
        <f>_xlfn.XLOOKUP(employee_data[[#This Row],[Job_Title]],market_benchmarks[Job_Title],market_benchmarks[Market_Median],"Not Found")</f>
        <v>70000</v>
      </c>
      <c r="J225" s="3">
        <f>employee_data[[#This Row],[Current_Salary]]/employee_data[[#This Row],[Market_Median]]</f>
        <v>1.0485714285714285</v>
      </c>
      <c r="K225" s="2">
        <f>employee_data[[#This Row],[Current_Salary]]-employee_data[[#This Row],[Market_Median]]</f>
        <v>3400</v>
      </c>
      <c r="L225" s="3">
        <f>(employee_data[[#This Row],[Current_Salary]]-employee_data[[#This Row],[Market_Median]])/employee_data[[#This Row],[Market_Median]]</f>
        <v>4.8571428571428571E-2</v>
      </c>
      <c r="M225" t="str" cm="1">
        <f t="array" ref="M22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26" spans="1:13" x14ac:dyDescent="0.3">
      <c r="A226" s="1" t="s">
        <v>260</v>
      </c>
      <c r="B226" s="1" t="s">
        <v>30</v>
      </c>
      <c r="C226" s="1" t="s">
        <v>53</v>
      </c>
      <c r="D226" s="1" t="s">
        <v>11</v>
      </c>
      <c r="E226" s="1" t="s">
        <v>12</v>
      </c>
      <c r="F226">
        <v>10</v>
      </c>
      <c r="G226" s="2">
        <v>41800</v>
      </c>
      <c r="H226">
        <v>3</v>
      </c>
      <c r="I226" s="2">
        <f>_xlfn.XLOOKUP(employee_data[[#This Row],[Job_Title]],market_benchmarks[Job_Title],market_benchmarks[Market_Median],"Not Found")</f>
        <v>48000</v>
      </c>
      <c r="J226" s="3">
        <f>employee_data[[#This Row],[Current_Salary]]/employee_data[[#This Row],[Market_Median]]</f>
        <v>0.87083333333333335</v>
      </c>
      <c r="K226" s="2">
        <f>employee_data[[#This Row],[Current_Salary]]-employee_data[[#This Row],[Market_Median]]</f>
        <v>-6200</v>
      </c>
      <c r="L226" s="3">
        <f>(employee_data[[#This Row],[Current_Salary]]-employee_data[[#This Row],[Market_Median]])/employee_data[[#This Row],[Market_Median]]</f>
        <v>-0.12916666666666668</v>
      </c>
      <c r="M226" t="str" cm="1">
        <f t="array" ref="M22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27" spans="1:13" x14ac:dyDescent="0.3">
      <c r="A227" s="1" t="s">
        <v>261</v>
      </c>
      <c r="B227" s="1" t="s">
        <v>38</v>
      </c>
      <c r="C227" s="1" t="s">
        <v>55</v>
      </c>
      <c r="D227" s="1" t="s">
        <v>11</v>
      </c>
      <c r="E227" s="1" t="s">
        <v>12</v>
      </c>
      <c r="F227">
        <v>11</v>
      </c>
      <c r="G227" s="2">
        <v>49000</v>
      </c>
      <c r="H227">
        <v>4</v>
      </c>
      <c r="I227" s="2">
        <f>_xlfn.XLOOKUP(employee_data[[#This Row],[Job_Title]],market_benchmarks[Job_Title],market_benchmarks[Market_Median],"Not Found")</f>
        <v>52000</v>
      </c>
      <c r="J227" s="3">
        <f>employee_data[[#This Row],[Current_Salary]]/employee_data[[#This Row],[Market_Median]]</f>
        <v>0.94230769230769229</v>
      </c>
      <c r="K227" s="2">
        <f>employee_data[[#This Row],[Current_Salary]]-employee_data[[#This Row],[Market_Median]]</f>
        <v>-3000</v>
      </c>
      <c r="L227" s="3">
        <f>(employee_data[[#This Row],[Current_Salary]]-employee_data[[#This Row],[Market_Median]])/employee_data[[#This Row],[Market_Median]]</f>
        <v>-5.7692307692307696E-2</v>
      </c>
      <c r="M227" t="str" cm="1">
        <f t="array" ref="M22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28" spans="1:13" x14ac:dyDescent="0.3">
      <c r="A228" s="1" t="s">
        <v>262</v>
      </c>
      <c r="B228" s="1" t="s">
        <v>22</v>
      </c>
      <c r="C228" s="1" t="s">
        <v>36</v>
      </c>
      <c r="D228" s="1" t="s">
        <v>32</v>
      </c>
      <c r="E228" s="1" t="s">
        <v>12</v>
      </c>
      <c r="F228">
        <v>1</v>
      </c>
      <c r="G228" s="2">
        <v>71300</v>
      </c>
      <c r="H228">
        <v>2</v>
      </c>
      <c r="I228" s="2">
        <f>_xlfn.XLOOKUP(employee_data[[#This Row],[Job_Title]],market_benchmarks[Job_Title],market_benchmarks[Market_Median],"Not Found")</f>
        <v>68000</v>
      </c>
      <c r="J228" s="3">
        <f>employee_data[[#This Row],[Current_Salary]]/employee_data[[#This Row],[Market_Median]]</f>
        <v>1.0485294117647059</v>
      </c>
      <c r="K228" s="2">
        <f>employee_data[[#This Row],[Current_Salary]]-employee_data[[#This Row],[Market_Median]]</f>
        <v>3300</v>
      </c>
      <c r="L228" s="3">
        <f>(employee_data[[#This Row],[Current_Salary]]-employee_data[[#This Row],[Market_Median]])/employee_data[[#This Row],[Market_Median]]</f>
        <v>4.8529411764705883E-2</v>
      </c>
      <c r="M228" t="str" cm="1">
        <f t="array" ref="M22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29" spans="1:13" x14ac:dyDescent="0.3">
      <c r="A229" s="1" t="s">
        <v>263</v>
      </c>
      <c r="B229" s="1" t="s">
        <v>30</v>
      </c>
      <c r="C229" s="1" t="s">
        <v>53</v>
      </c>
      <c r="D229" s="1" t="s">
        <v>11</v>
      </c>
      <c r="E229" s="1" t="s">
        <v>12</v>
      </c>
      <c r="F229">
        <v>16</v>
      </c>
      <c r="G229" s="2">
        <v>42700</v>
      </c>
      <c r="H229">
        <v>5</v>
      </c>
      <c r="I229" s="2">
        <f>_xlfn.XLOOKUP(employee_data[[#This Row],[Job_Title]],market_benchmarks[Job_Title],market_benchmarks[Market_Median],"Not Found")</f>
        <v>48000</v>
      </c>
      <c r="J229" s="3">
        <f>employee_data[[#This Row],[Current_Salary]]/employee_data[[#This Row],[Market_Median]]</f>
        <v>0.88958333333333328</v>
      </c>
      <c r="K229" s="2">
        <f>employee_data[[#This Row],[Current_Salary]]-employee_data[[#This Row],[Market_Median]]</f>
        <v>-5300</v>
      </c>
      <c r="L229" s="3">
        <f>(employee_data[[#This Row],[Current_Salary]]-employee_data[[#This Row],[Market_Median]])/employee_data[[#This Row],[Market_Median]]</f>
        <v>-0.11041666666666666</v>
      </c>
      <c r="M229" t="str" cm="1">
        <f t="array" ref="M22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30" spans="1:13" x14ac:dyDescent="0.3">
      <c r="A230" s="1" t="s">
        <v>264</v>
      </c>
      <c r="B230" s="1" t="s">
        <v>30</v>
      </c>
      <c r="C230" s="1" t="s">
        <v>76</v>
      </c>
      <c r="D230" s="1" t="s">
        <v>16</v>
      </c>
      <c r="E230" s="1" t="s">
        <v>12</v>
      </c>
      <c r="F230">
        <v>11</v>
      </c>
      <c r="G230" s="2">
        <v>71100</v>
      </c>
      <c r="H230">
        <v>3</v>
      </c>
      <c r="I230" s="2">
        <f>_xlfn.XLOOKUP(employee_data[[#This Row],[Job_Title]],market_benchmarks[Job_Title],market_benchmarks[Market_Median],"Not Found")</f>
        <v>72000</v>
      </c>
      <c r="J230" s="3">
        <f>employee_data[[#This Row],[Current_Salary]]/employee_data[[#This Row],[Market_Median]]</f>
        <v>0.98750000000000004</v>
      </c>
      <c r="K230" s="2">
        <f>employee_data[[#This Row],[Current_Salary]]-employee_data[[#This Row],[Market_Median]]</f>
        <v>-900</v>
      </c>
      <c r="L230" s="3">
        <f>(employee_data[[#This Row],[Current_Salary]]-employee_data[[#This Row],[Market_Median]])/employee_data[[#This Row],[Market_Median]]</f>
        <v>-1.2500000000000001E-2</v>
      </c>
      <c r="M230" t="str" cm="1">
        <f t="array" ref="M23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1" spans="1:13" x14ac:dyDescent="0.3">
      <c r="A231" s="1" t="s">
        <v>265</v>
      </c>
      <c r="B231" s="1" t="s">
        <v>18</v>
      </c>
      <c r="C231" s="1" t="s">
        <v>28</v>
      </c>
      <c r="D231" s="1" t="s">
        <v>11</v>
      </c>
      <c r="E231" s="1" t="s">
        <v>12</v>
      </c>
      <c r="F231">
        <v>4</v>
      </c>
      <c r="G231" s="2">
        <v>52600</v>
      </c>
      <c r="H231">
        <v>4</v>
      </c>
      <c r="I231" s="2">
        <f>_xlfn.XLOOKUP(employee_data[[#This Row],[Job_Title]],market_benchmarks[Job_Title],market_benchmarks[Market_Median],"Not Found")</f>
        <v>52000</v>
      </c>
      <c r="J231" s="3">
        <f>employee_data[[#This Row],[Current_Salary]]/employee_data[[#This Row],[Market_Median]]</f>
        <v>1.0115384615384615</v>
      </c>
      <c r="K231" s="2">
        <f>employee_data[[#This Row],[Current_Salary]]-employee_data[[#This Row],[Market_Median]]</f>
        <v>600</v>
      </c>
      <c r="L231" s="3">
        <f>(employee_data[[#This Row],[Current_Salary]]-employee_data[[#This Row],[Market_Median]])/employee_data[[#This Row],[Market_Median]]</f>
        <v>1.1538461538461539E-2</v>
      </c>
      <c r="M231" t="str" cm="1">
        <f t="array" ref="M23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2" spans="1:13" x14ac:dyDescent="0.3">
      <c r="A232" s="1" t="s">
        <v>266</v>
      </c>
      <c r="B232" s="1" t="s">
        <v>22</v>
      </c>
      <c r="C232" s="1" t="s">
        <v>23</v>
      </c>
      <c r="D232" s="1" t="s">
        <v>11</v>
      </c>
      <c r="E232" s="1" t="s">
        <v>12</v>
      </c>
      <c r="F232">
        <v>17</v>
      </c>
      <c r="G232" s="2">
        <v>49600</v>
      </c>
      <c r="H232">
        <v>3</v>
      </c>
      <c r="I232" s="2">
        <f>_xlfn.XLOOKUP(employee_data[[#This Row],[Job_Title]],market_benchmarks[Job_Title],market_benchmarks[Market_Median],"Not Found")</f>
        <v>50000</v>
      </c>
      <c r="J232" s="3">
        <f>employee_data[[#This Row],[Current_Salary]]/employee_data[[#This Row],[Market_Median]]</f>
        <v>0.99199999999999999</v>
      </c>
      <c r="K232" s="2">
        <f>employee_data[[#This Row],[Current_Salary]]-employee_data[[#This Row],[Market_Median]]</f>
        <v>-400</v>
      </c>
      <c r="L232" s="3">
        <f>(employee_data[[#This Row],[Current_Salary]]-employee_data[[#This Row],[Market_Median]])/employee_data[[#This Row],[Market_Median]]</f>
        <v>-8.0000000000000002E-3</v>
      </c>
      <c r="M232" t="str" cm="1">
        <f t="array" ref="M23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3" spans="1:13" x14ac:dyDescent="0.3">
      <c r="A233" s="1" t="s">
        <v>267</v>
      </c>
      <c r="B233" s="1" t="s">
        <v>38</v>
      </c>
      <c r="C233" s="1" t="s">
        <v>55</v>
      </c>
      <c r="D233" s="1" t="s">
        <v>11</v>
      </c>
      <c r="E233" s="1" t="s">
        <v>12</v>
      </c>
      <c r="F233">
        <v>6</v>
      </c>
      <c r="G233" s="2">
        <v>50500</v>
      </c>
      <c r="H233">
        <v>1</v>
      </c>
      <c r="I233" s="2">
        <f>_xlfn.XLOOKUP(employee_data[[#This Row],[Job_Title]],market_benchmarks[Job_Title],market_benchmarks[Market_Median],"Not Found")</f>
        <v>52000</v>
      </c>
      <c r="J233" s="3">
        <f>employee_data[[#This Row],[Current_Salary]]/employee_data[[#This Row],[Market_Median]]</f>
        <v>0.97115384615384615</v>
      </c>
      <c r="K233" s="2">
        <f>employee_data[[#This Row],[Current_Salary]]-employee_data[[#This Row],[Market_Median]]</f>
        <v>-1500</v>
      </c>
      <c r="L233" s="3">
        <f>(employee_data[[#This Row],[Current_Salary]]-employee_data[[#This Row],[Market_Median]])/employee_data[[#This Row],[Market_Median]]</f>
        <v>-2.8846153846153848E-2</v>
      </c>
      <c r="M233" t="str" cm="1">
        <f t="array" ref="M23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4" spans="1:13" x14ac:dyDescent="0.3">
      <c r="A234" s="1" t="s">
        <v>268</v>
      </c>
      <c r="B234" s="1" t="s">
        <v>18</v>
      </c>
      <c r="C234" s="1" t="s">
        <v>19</v>
      </c>
      <c r="D234" s="1" t="s">
        <v>16</v>
      </c>
      <c r="E234" s="1" t="s">
        <v>12</v>
      </c>
      <c r="F234">
        <v>8</v>
      </c>
      <c r="G234" s="2">
        <v>83700</v>
      </c>
      <c r="H234">
        <v>3</v>
      </c>
      <c r="I234" s="2">
        <f>_xlfn.XLOOKUP(employee_data[[#This Row],[Job_Title]],market_benchmarks[Job_Title],market_benchmarks[Market_Median],"Not Found")</f>
        <v>90000</v>
      </c>
      <c r="J234" s="3">
        <f>employee_data[[#This Row],[Current_Salary]]/employee_data[[#This Row],[Market_Median]]</f>
        <v>0.93</v>
      </c>
      <c r="K234" s="2">
        <f>employee_data[[#This Row],[Current_Salary]]-employee_data[[#This Row],[Market_Median]]</f>
        <v>-6300</v>
      </c>
      <c r="L234" s="3">
        <f>(employee_data[[#This Row],[Current_Salary]]-employee_data[[#This Row],[Market_Median]])/employee_data[[#This Row],[Market_Median]]</f>
        <v>-7.0000000000000007E-2</v>
      </c>
      <c r="M234" t="str" cm="1">
        <f t="array" ref="M23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35" spans="1:13" x14ac:dyDescent="0.3">
      <c r="A235" s="1" t="s">
        <v>269</v>
      </c>
      <c r="B235" s="1" t="s">
        <v>18</v>
      </c>
      <c r="C235" s="1" t="s">
        <v>43</v>
      </c>
      <c r="D235" s="1" t="s">
        <v>32</v>
      </c>
      <c r="E235" s="1" t="s">
        <v>12</v>
      </c>
      <c r="F235">
        <v>19</v>
      </c>
      <c r="G235" s="2">
        <v>61500</v>
      </c>
      <c r="H235">
        <v>4</v>
      </c>
      <c r="I235" s="2">
        <f>_xlfn.XLOOKUP(employee_data[[#This Row],[Job_Title]],market_benchmarks[Job_Title],market_benchmarks[Market_Median],"Not Found")</f>
        <v>72000</v>
      </c>
      <c r="J235" s="3">
        <f>employee_data[[#This Row],[Current_Salary]]/employee_data[[#This Row],[Market_Median]]</f>
        <v>0.85416666666666663</v>
      </c>
      <c r="K235" s="2">
        <f>employee_data[[#This Row],[Current_Salary]]-employee_data[[#This Row],[Market_Median]]</f>
        <v>-10500</v>
      </c>
      <c r="L235" s="3">
        <f>(employee_data[[#This Row],[Current_Salary]]-employee_data[[#This Row],[Market_Median]])/employee_data[[#This Row],[Market_Median]]</f>
        <v>-0.14583333333333334</v>
      </c>
      <c r="M235" t="str" cm="1">
        <f t="array" ref="M23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36" spans="1:13" x14ac:dyDescent="0.3">
      <c r="A236" s="1" t="s">
        <v>270</v>
      </c>
      <c r="B236" s="1" t="s">
        <v>38</v>
      </c>
      <c r="C236" s="1" t="s">
        <v>96</v>
      </c>
      <c r="D236" s="1" t="s">
        <v>16</v>
      </c>
      <c r="E236" s="1" t="s">
        <v>12</v>
      </c>
      <c r="F236">
        <v>9</v>
      </c>
      <c r="G236" s="2">
        <v>72400</v>
      </c>
      <c r="H236">
        <v>3</v>
      </c>
      <c r="I236" s="2">
        <f>_xlfn.XLOOKUP(employee_data[[#This Row],[Job_Title]],market_benchmarks[Job_Title],market_benchmarks[Market_Median],"Not Found")</f>
        <v>88000</v>
      </c>
      <c r="J236" s="3">
        <f>employee_data[[#This Row],[Current_Salary]]/employee_data[[#This Row],[Market_Median]]</f>
        <v>0.82272727272727275</v>
      </c>
      <c r="K236" s="2">
        <f>employee_data[[#This Row],[Current_Salary]]-employee_data[[#This Row],[Market_Median]]</f>
        <v>-15600</v>
      </c>
      <c r="L236" s="3">
        <f>(employee_data[[#This Row],[Current_Salary]]-employee_data[[#This Row],[Market_Median]])/employee_data[[#This Row],[Market_Median]]</f>
        <v>-0.17727272727272728</v>
      </c>
      <c r="M236" t="str" cm="1">
        <f t="array" ref="M23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37" spans="1:13" x14ac:dyDescent="0.3">
      <c r="A237" s="1" t="s">
        <v>271</v>
      </c>
      <c r="B237" s="1" t="s">
        <v>9</v>
      </c>
      <c r="C237" s="1" t="s">
        <v>10</v>
      </c>
      <c r="D237" s="1" t="s">
        <v>11</v>
      </c>
      <c r="E237" s="1" t="s">
        <v>12</v>
      </c>
      <c r="F237">
        <v>1</v>
      </c>
      <c r="G237" s="2">
        <v>63300</v>
      </c>
      <c r="H237">
        <v>4</v>
      </c>
      <c r="I237" s="2">
        <f>_xlfn.XLOOKUP(employee_data[[#This Row],[Job_Title]],market_benchmarks[Job_Title],market_benchmarks[Market_Median],"Not Found")</f>
        <v>58000</v>
      </c>
      <c r="J237" s="3">
        <f>employee_data[[#This Row],[Current_Salary]]/employee_data[[#This Row],[Market_Median]]</f>
        <v>1.0913793103448275</v>
      </c>
      <c r="K237" s="2">
        <f>employee_data[[#This Row],[Current_Salary]]-employee_data[[#This Row],[Market_Median]]</f>
        <v>5300</v>
      </c>
      <c r="L237" s="3">
        <f>(employee_data[[#This Row],[Current_Salary]]-employee_data[[#This Row],[Market_Median]])/employee_data[[#This Row],[Market_Median]]</f>
        <v>9.1379310344827588E-2</v>
      </c>
      <c r="M237" t="str" cm="1">
        <f t="array" ref="M23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38" spans="1:13" x14ac:dyDescent="0.3">
      <c r="A238" s="1" t="s">
        <v>272</v>
      </c>
      <c r="B238" s="1" t="s">
        <v>14</v>
      </c>
      <c r="C238" s="1" t="s">
        <v>65</v>
      </c>
      <c r="D238" s="1" t="s">
        <v>32</v>
      </c>
      <c r="E238" s="1" t="s">
        <v>12</v>
      </c>
      <c r="F238">
        <v>11</v>
      </c>
      <c r="G238" s="2">
        <v>65800</v>
      </c>
      <c r="H238">
        <v>3</v>
      </c>
      <c r="I238" s="2">
        <f>_xlfn.XLOOKUP(employee_data[[#This Row],[Job_Title]],market_benchmarks[Job_Title],market_benchmarks[Market_Median],"Not Found")</f>
        <v>68000</v>
      </c>
      <c r="J238" s="3">
        <f>employee_data[[#This Row],[Current_Salary]]/employee_data[[#This Row],[Market_Median]]</f>
        <v>0.96764705882352942</v>
      </c>
      <c r="K238" s="2">
        <f>employee_data[[#This Row],[Current_Salary]]-employee_data[[#This Row],[Market_Median]]</f>
        <v>-2200</v>
      </c>
      <c r="L238" s="3">
        <f>(employee_data[[#This Row],[Current_Salary]]-employee_data[[#This Row],[Market_Median]])/employee_data[[#This Row],[Market_Median]]</f>
        <v>-3.2352941176470591E-2</v>
      </c>
      <c r="M238" t="str" cm="1">
        <f t="array" ref="M23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39" spans="1:13" x14ac:dyDescent="0.3">
      <c r="A239" s="1" t="s">
        <v>273</v>
      </c>
      <c r="B239" s="1" t="s">
        <v>22</v>
      </c>
      <c r="C239" s="1" t="s">
        <v>23</v>
      </c>
      <c r="D239" s="1" t="s">
        <v>11</v>
      </c>
      <c r="E239" s="1" t="s">
        <v>12</v>
      </c>
      <c r="F239">
        <v>12</v>
      </c>
      <c r="G239" s="2">
        <v>54400</v>
      </c>
      <c r="H239">
        <v>3</v>
      </c>
      <c r="I239" s="2">
        <f>_xlfn.XLOOKUP(employee_data[[#This Row],[Job_Title]],market_benchmarks[Job_Title],market_benchmarks[Market_Median],"Not Found")</f>
        <v>50000</v>
      </c>
      <c r="J239" s="3">
        <f>employee_data[[#This Row],[Current_Salary]]/employee_data[[#This Row],[Market_Median]]</f>
        <v>1.0880000000000001</v>
      </c>
      <c r="K239" s="2">
        <f>employee_data[[#This Row],[Current_Salary]]-employee_data[[#This Row],[Market_Median]]</f>
        <v>4400</v>
      </c>
      <c r="L239" s="3">
        <f>(employee_data[[#This Row],[Current_Salary]]-employee_data[[#This Row],[Market_Median]])/employee_data[[#This Row],[Market_Median]]</f>
        <v>8.7999999999999995E-2</v>
      </c>
      <c r="M239" t="str" cm="1">
        <f t="array" ref="M23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40" spans="1:13" x14ac:dyDescent="0.3">
      <c r="A240" s="1" t="s">
        <v>274</v>
      </c>
      <c r="B240" s="1" t="s">
        <v>18</v>
      </c>
      <c r="C240" s="1" t="s">
        <v>43</v>
      </c>
      <c r="D240" s="1" t="s">
        <v>32</v>
      </c>
      <c r="E240" s="1" t="s">
        <v>12</v>
      </c>
      <c r="F240">
        <v>11</v>
      </c>
      <c r="G240" s="2">
        <v>73500</v>
      </c>
      <c r="H240">
        <v>3</v>
      </c>
      <c r="I240" s="2">
        <f>_xlfn.XLOOKUP(employee_data[[#This Row],[Job_Title]],market_benchmarks[Job_Title],market_benchmarks[Market_Median],"Not Found")</f>
        <v>72000</v>
      </c>
      <c r="J240" s="3">
        <f>employee_data[[#This Row],[Current_Salary]]/employee_data[[#This Row],[Market_Median]]</f>
        <v>1.0208333333333333</v>
      </c>
      <c r="K240" s="2">
        <f>employee_data[[#This Row],[Current_Salary]]-employee_data[[#This Row],[Market_Median]]</f>
        <v>1500</v>
      </c>
      <c r="L240" s="3">
        <f>(employee_data[[#This Row],[Current_Salary]]-employee_data[[#This Row],[Market_Median]])/employee_data[[#This Row],[Market_Median]]</f>
        <v>2.0833333333333332E-2</v>
      </c>
      <c r="M240" t="str" cm="1">
        <f t="array" ref="M24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41" spans="1:13" x14ac:dyDescent="0.3">
      <c r="A241" s="1" t="s">
        <v>275</v>
      </c>
      <c r="B241" s="1" t="s">
        <v>14</v>
      </c>
      <c r="C241" s="1" t="s">
        <v>15</v>
      </c>
      <c r="D241" s="1" t="s">
        <v>16</v>
      </c>
      <c r="E241" s="1" t="s">
        <v>12</v>
      </c>
      <c r="F241">
        <v>6</v>
      </c>
      <c r="G241" s="2">
        <v>78300</v>
      </c>
      <c r="H241">
        <v>1</v>
      </c>
      <c r="I241" s="2">
        <f>_xlfn.XLOOKUP(employee_data[[#This Row],[Job_Title]],market_benchmarks[Job_Title],market_benchmarks[Market_Median],"Not Found")</f>
        <v>82000</v>
      </c>
      <c r="J241" s="3">
        <f>employee_data[[#This Row],[Current_Salary]]/employee_data[[#This Row],[Market_Median]]</f>
        <v>0.95487804878048776</v>
      </c>
      <c r="K241" s="2">
        <f>employee_data[[#This Row],[Current_Salary]]-employee_data[[#This Row],[Market_Median]]</f>
        <v>-3700</v>
      </c>
      <c r="L241" s="3">
        <f>(employee_data[[#This Row],[Current_Salary]]-employee_data[[#This Row],[Market_Median]])/employee_data[[#This Row],[Market_Median]]</f>
        <v>-4.5121951219512194E-2</v>
      </c>
      <c r="M241" t="str" cm="1">
        <f t="array" ref="M24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42" spans="1:13" x14ac:dyDescent="0.3">
      <c r="A242" s="1" t="s">
        <v>276</v>
      </c>
      <c r="B242" s="1" t="s">
        <v>18</v>
      </c>
      <c r="C242" s="1" t="s">
        <v>43</v>
      </c>
      <c r="D242" s="1" t="s">
        <v>32</v>
      </c>
      <c r="E242" s="1" t="s">
        <v>12</v>
      </c>
      <c r="F242">
        <v>16</v>
      </c>
      <c r="G242" s="2">
        <v>85000</v>
      </c>
      <c r="H242">
        <v>3</v>
      </c>
      <c r="I242" s="2">
        <f>_xlfn.XLOOKUP(employee_data[[#This Row],[Job_Title]],market_benchmarks[Job_Title],market_benchmarks[Market_Median],"Not Found")</f>
        <v>72000</v>
      </c>
      <c r="J242" s="3">
        <f>employee_data[[#This Row],[Current_Salary]]/employee_data[[#This Row],[Market_Median]]</f>
        <v>1.1805555555555556</v>
      </c>
      <c r="K242" s="2">
        <f>employee_data[[#This Row],[Current_Salary]]-employee_data[[#This Row],[Market_Median]]</f>
        <v>13000</v>
      </c>
      <c r="L242" s="3">
        <f>(employee_data[[#This Row],[Current_Salary]]-employee_data[[#This Row],[Market_Median]])/employee_data[[#This Row],[Market_Median]]</f>
        <v>0.18055555555555555</v>
      </c>
      <c r="M242" t="str" cm="1">
        <f t="array" ref="M24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43" spans="1:13" x14ac:dyDescent="0.3">
      <c r="A243" s="1" t="s">
        <v>277</v>
      </c>
      <c r="B243" s="1" t="s">
        <v>9</v>
      </c>
      <c r="C243" s="1" t="s">
        <v>25</v>
      </c>
      <c r="D243" s="1" t="s">
        <v>16</v>
      </c>
      <c r="E243" s="1" t="s">
        <v>12</v>
      </c>
      <c r="F243">
        <v>9</v>
      </c>
      <c r="G243" s="2">
        <v>89500</v>
      </c>
      <c r="H243">
        <v>2</v>
      </c>
      <c r="I243" s="2">
        <f>_xlfn.XLOOKUP(employee_data[[#This Row],[Job_Title]],market_benchmarks[Job_Title],market_benchmarks[Market_Median],"Not Found")</f>
        <v>98000</v>
      </c>
      <c r="J243" s="3">
        <f>employee_data[[#This Row],[Current_Salary]]/employee_data[[#This Row],[Market_Median]]</f>
        <v>0.91326530612244894</v>
      </c>
      <c r="K243" s="2">
        <f>employee_data[[#This Row],[Current_Salary]]-employee_data[[#This Row],[Market_Median]]</f>
        <v>-8500</v>
      </c>
      <c r="L243" s="3">
        <f>(employee_data[[#This Row],[Current_Salary]]-employee_data[[#This Row],[Market_Median]])/employee_data[[#This Row],[Market_Median]]</f>
        <v>-8.673469387755102E-2</v>
      </c>
      <c r="M243" t="str" cm="1">
        <f t="array" ref="M24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44" spans="1:13" x14ac:dyDescent="0.3">
      <c r="A244" s="1" t="s">
        <v>278</v>
      </c>
      <c r="B244" s="1" t="s">
        <v>9</v>
      </c>
      <c r="C244" s="1" t="s">
        <v>10</v>
      </c>
      <c r="D244" s="1" t="s">
        <v>11</v>
      </c>
      <c r="E244" s="1" t="s">
        <v>12</v>
      </c>
      <c r="F244">
        <v>0</v>
      </c>
      <c r="G244" s="2">
        <v>53400</v>
      </c>
      <c r="H244">
        <v>3</v>
      </c>
      <c r="I244" s="2">
        <f>_xlfn.XLOOKUP(employee_data[[#This Row],[Job_Title]],market_benchmarks[Job_Title],market_benchmarks[Market_Median],"Not Found")</f>
        <v>58000</v>
      </c>
      <c r="J244" s="3">
        <f>employee_data[[#This Row],[Current_Salary]]/employee_data[[#This Row],[Market_Median]]</f>
        <v>0.92068965517241375</v>
      </c>
      <c r="K244" s="2">
        <f>employee_data[[#This Row],[Current_Salary]]-employee_data[[#This Row],[Market_Median]]</f>
        <v>-4600</v>
      </c>
      <c r="L244" s="3">
        <f>(employee_data[[#This Row],[Current_Salary]]-employee_data[[#This Row],[Market_Median]])/employee_data[[#This Row],[Market_Median]]</f>
        <v>-7.9310344827586213E-2</v>
      </c>
      <c r="M244" t="str" cm="1">
        <f t="array" ref="M24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45" spans="1:13" x14ac:dyDescent="0.3">
      <c r="A245" s="1" t="s">
        <v>279</v>
      </c>
      <c r="B245" s="1" t="s">
        <v>22</v>
      </c>
      <c r="C245" s="1" t="s">
        <v>36</v>
      </c>
      <c r="D245" s="1" t="s">
        <v>32</v>
      </c>
      <c r="E245" s="1" t="s">
        <v>12</v>
      </c>
      <c r="F245">
        <v>3</v>
      </c>
      <c r="G245" s="2">
        <v>59100</v>
      </c>
      <c r="H245">
        <v>4</v>
      </c>
      <c r="I245" s="2">
        <f>_xlfn.XLOOKUP(employee_data[[#This Row],[Job_Title]],market_benchmarks[Job_Title],market_benchmarks[Market_Median],"Not Found")</f>
        <v>68000</v>
      </c>
      <c r="J245" s="3">
        <f>employee_data[[#This Row],[Current_Salary]]/employee_data[[#This Row],[Market_Median]]</f>
        <v>0.86911764705882355</v>
      </c>
      <c r="K245" s="2">
        <f>employee_data[[#This Row],[Current_Salary]]-employee_data[[#This Row],[Market_Median]]</f>
        <v>-8900</v>
      </c>
      <c r="L245" s="3">
        <f>(employee_data[[#This Row],[Current_Salary]]-employee_data[[#This Row],[Market_Median]])/employee_data[[#This Row],[Market_Median]]</f>
        <v>-0.13088235294117648</v>
      </c>
      <c r="M245" t="str" cm="1">
        <f t="array" ref="M24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46" spans="1:13" x14ac:dyDescent="0.3">
      <c r="A246" s="1" t="s">
        <v>280</v>
      </c>
      <c r="B246" s="1" t="s">
        <v>18</v>
      </c>
      <c r="C246" s="1" t="s">
        <v>28</v>
      </c>
      <c r="D246" s="1" t="s">
        <v>11</v>
      </c>
      <c r="E246" s="1" t="s">
        <v>12</v>
      </c>
      <c r="F246">
        <v>15</v>
      </c>
      <c r="G246" s="2">
        <v>49200</v>
      </c>
      <c r="H246">
        <v>1</v>
      </c>
      <c r="I246" s="2">
        <f>_xlfn.XLOOKUP(employee_data[[#This Row],[Job_Title]],market_benchmarks[Job_Title],market_benchmarks[Market_Median],"Not Found")</f>
        <v>52000</v>
      </c>
      <c r="J246" s="3">
        <f>employee_data[[#This Row],[Current_Salary]]/employee_data[[#This Row],[Market_Median]]</f>
        <v>0.94615384615384612</v>
      </c>
      <c r="K246" s="2">
        <f>employee_data[[#This Row],[Current_Salary]]-employee_data[[#This Row],[Market_Median]]</f>
        <v>-2800</v>
      </c>
      <c r="L246" s="3">
        <f>(employee_data[[#This Row],[Current_Salary]]-employee_data[[#This Row],[Market_Median]])/employee_data[[#This Row],[Market_Median]]</f>
        <v>-5.3846153846153849E-2</v>
      </c>
      <c r="M246" t="str" cm="1">
        <f t="array" ref="M24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47" spans="1:13" x14ac:dyDescent="0.3">
      <c r="A247" s="1" t="s">
        <v>281</v>
      </c>
      <c r="B247" s="1" t="s">
        <v>30</v>
      </c>
      <c r="C247" s="1" t="s">
        <v>53</v>
      </c>
      <c r="D247" s="1" t="s">
        <v>11</v>
      </c>
      <c r="E247" s="1" t="s">
        <v>12</v>
      </c>
      <c r="F247">
        <v>3</v>
      </c>
      <c r="G247" s="2">
        <v>46700</v>
      </c>
      <c r="H247">
        <v>3</v>
      </c>
      <c r="I247" s="2">
        <f>_xlfn.XLOOKUP(employee_data[[#This Row],[Job_Title]],market_benchmarks[Job_Title],market_benchmarks[Market_Median],"Not Found")</f>
        <v>48000</v>
      </c>
      <c r="J247" s="3">
        <f>employee_data[[#This Row],[Current_Salary]]/employee_data[[#This Row],[Market_Median]]</f>
        <v>0.97291666666666665</v>
      </c>
      <c r="K247" s="2">
        <f>employee_data[[#This Row],[Current_Salary]]-employee_data[[#This Row],[Market_Median]]</f>
        <v>-1300</v>
      </c>
      <c r="L247" s="3">
        <f>(employee_data[[#This Row],[Current_Salary]]-employee_data[[#This Row],[Market_Median]])/employee_data[[#This Row],[Market_Median]]</f>
        <v>-2.7083333333333334E-2</v>
      </c>
      <c r="M247" t="str" cm="1">
        <f t="array" ref="M24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48" spans="1:13" x14ac:dyDescent="0.3">
      <c r="A248" s="1" t="s">
        <v>282</v>
      </c>
      <c r="B248" s="1" t="s">
        <v>38</v>
      </c>
      <c r="C248" s="1" t="s">
        <v>55</v>
      </c>
      <c r="D248" s="1" t="s">
        <v>11</v>
      </c>
      <c r="E248" s="1" t="s">
        <v>12</v>
      </c>
      <c r="F248">
        <v>4</v>
      </c>
      <c r="G248" s="2">
        <v>54500</v>
      </c>
      <c r="H248">
        <v>2</v>
      </c>
      <c r="I248" s="2">
        <f>_xlfn.XLOOKUP(employee_data[[#This Row],[Job_Title]],market_benchmarks[Job_Title],market_benchmarks[Market_Median],"Not Found")</f>
        <v>52000</v>
      </c>
      <c r="J248" s="3">
        <f>employee_data[[#This Row],[Current_Salary]]/employee_data[[#This Row],[Market_Median]]</f>
        <v>1.0480769230769231</v>
      </c>
      <c r="K248" s="2">
        <f>employee_data[[#This Row],[Current_Salary]]-employee_data[[#This Row],[Market_Median]]</f>
        <v>2500</v>
      </c>
      <c r="L248" s="3">
        <f>(employee_data[[#This Row],[Current_Salary]]-employee_data[[#This Row],[Market_Median]])/employee_data[[#This Row],[Market_Median]]</f>
        <v>4.807692307692308E-2</v>
      </c>
      <c r="M248" t="str" cm="1">
        <f t="array" ref="M24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49" spans="1:13" x14ac:dyDescent="0.3">
      <c r="A249" s="1" t="s">
        <v>283</v>
      </c>
      <c r="B249" s="1" t="s">
        <v>22</v>
      </c>
      <c r="C249" s="1" t="s">
        <v>41</v>
      </c>
      <c r="D249" s="1" t="s">
        <v>16</v>
      </c>
      <c r="E249" s="1" t="s">
        <v>12</v>
      </c>
      <c r="F249">
        <v>12</v>
      </c>
      <c r="G249" s="2">
        <v>78900</v>
      </c>
      <c r="H249">
        <v>5</v>
      </c>
      <c r="I249" s="2">
        <f>_xlfn.XLOOKUP(employee_data[[#This Row],[Job_Title]],market_benchmarks[Job_Title],market_benchmarks[Market_Median],"Not Found")</f>
        <v>85000</v>
      </c>
      <c r="J249" s="3">
        <f>employee_data[[#This Row],[Current_Salary]]/employee_data[[#This Row],[Market_Median]]</f>
        <v>0.92823529411764705</v>
      </c>
      <c r="K249" s="2">
        <f>employee_data[[#This Row],[Current_Salary]]-employee_data[[#This Row],[Market_Median]]</f>
        <v>-6100</v>
      </c>
      <c r="L249" s="3">
        <f>(employee_data[[#This Row],[Current_Salary]]-employee_data[[#This Row],[Market_Median]])/employee_data[[#This Row],[Market_Median]]</f>
        <v>-7.1764705882352939E-2</v>
      </c>
      <c r="M249" t="str" cm="1">
        <f t="array" ref="M24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50" spans="1:13" x14ac:dyDescent="0.3">
      <c r="A250" s="1" t="s">
        <v>284</v>
      </c>
      <c r="B250" s="1" t="s">
        <v>9</v>
      </c>
      <c r="C250" s="1" t="s">
        <v>25</v>
      </c>
      <c r="D250" s="1" t="s">
        <v>16</v>
      </c>
      <c r="E250" s="1" t="s">
        <v>12</v>
      </c>
      <c r="F250">
        <v>7</v>
      </c>
      <c r="G250" s="2">
        <v>104500</v>
      </c>
      <c r="H250">
        <v>5</v>
      </c>
      <c r="I250" s="2">
        <f>_xlfn.XLOOKUP(employee_data[[#This Row],[Job_Title]],market_benchmarks[Job_Title],market_benchmarks[Market_Median],"Not Found")</f>
        <v>98000</v>
      </c>
      <c r="J250" s="3">
        <f>employee_data[[#This Row],[Current_Salary]]/employee_data[[#This Row],[Market_Median]]</f>
        <v>1.0663265306122449</v>
      </c>
      <c r="K250" s="2">
        <f>employee_data[[#This Row],[Current_Salary]]-employee_data[[#This Row],[Market_Median]]</f>
        <v>6500</v>
      </c>
      <c r="L250" s="3">
        <f>(employee_data[[#This Row],[Current_Salary]]-employee_data[[#This Row],[Market_Median]])/employee_data[[#This Row],[Market_Median]]</f>
        <v>6.6326530612244902E-2</v>
      </c>
      <c r="M250" t="str" cm="1">
        <f t="array" ref="M25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51" spans="1:13" x14ac:dyDescent="0.3">
      <c r="A251" s="1" t="s">
        <v>285</v>
      </c>
      <c r="B251" s="1" t="s">
        <v>18</v>
      </c>
      <c r="C251" s="1" t="s">
        <v>43</v>
      </c>
      <c r="D251" s="1" t="s">
        <v>32</v>
      </c>
      <c r="E251" s="1" t="s">
        <v>12</v>
      </c>
      <c r="F251">
        <v>9</v>
      </c>
      <c r="G251" s="2">
        <v>80100</v>
      </c>
      <c r="H251">
        <v>1</v>
      </c>
      <c r="I251" s="2">
        <f>_xlfn.XLOOKUP(employee_data[[#This Row],[Job_Title]],market_benchmarks[Job_Title],market_benchmarks[Market_Median],"Not Found")</f>
        <v>72000</v>
      </c>
      <c r="J251" s="3">
        <f>employee_data[[#This Row],[Current_Salary]]/employee_data[[#This Row],[Market_Median]]</f>
        <v>1.1125</v>
      </c>
      <c r="K251" s="2">
        <f>employee_data[[#This Row],[Current_Salary]]-employee_data[[#This Row],[Market_Median]]</f>
        <v>8100</v>
      </c>
      <c r="L251" s="3">
        <f>(employee_data[[#This Row],[Current_Salary]]-employee_data[[#This Row],[Market_Median]])/employee_data[[#This Row],[Market_Median]]</f>
        <v>0.1125</v>
      </c>
      <c r="M251" t="str" cm="1">
        <f t="array" ref="M25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52" spans="1:13" x14ac:dyDescent="0.3">
      <c r="A252" s="1" t="s">
        <v>286</v>
      </c>
      <c r="B252" s="1" t="s">
        <v>30</v>
      </c>
      <c r="C252" s="1" t="s">
        <v>31</v>
      </c>
      <c r="D252" s="1" t="s">
        <v>32</v>
      </c>
      <c r="E252" s="1" t="s">
        <v>12</v>
      </c>
      <c r="F252">
        <v>8</v>
      </c>
      <c r="G252" s="2">
        <v>51400</v>
      </c>
      <c r="H252">
        <v>3</v>
      </c>
      <c r="I252" s="2">
        <f>_xlfn.XLOOKUP(employee_data[[#This Row],[Job_Title]],market_benchmarks[Job_Title],market_benchmarks[Market_Median],"Not Found")</f>
        <v>58000</v>
      </c>
      <c r="J252" s="3">
        <f>employee_data[[#This Row],[Current_Salary]]/employee_data[[#This Row],[Market_Median]]</f>
        <v>0.88620689655172413</v>
      </c>
      <c r="K252" s="2">
        <f>employee_data[[#This Row],[Current_Salary]]-employee_data[[#This Row],[Market_Median]]</f>
        <v>-6600</v>
      </c>
      <c r="L252" s="3">
        <f>(employee_data[[#This Row],[Current_Salary]]-employee_data[[#This Row],[Market_Median]])/employee_data[[#This Row],[Market_Median]]</f>
        <v>-0.11379310344827587</v>
      </c>
      <c r="M252" t="str" cm="1">
        <f t="array" ref="M25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53" spans="1:13" x14ac:dyDescent="0.3">
      <c r="A253" s="1" t="s">
        <v>287</v>
      </c>
      <c r="B253" s="1" t="s">
        <v>18</v>
      </c>
      <c r="C253" s="1" t="s">
        <v>43</v>
      </c>
      <c r="D253" s="1" t="s">
        <v>32</v>
      </c>
      <c r="E253" s="1" t="s">
        <v>12</v>
      </c>
      <c r="F253">
        <v>14</v>
      </c>
      <c r="G253" s="2">
        <v>77000</v>
      </c>
      <c r="H253">
        <v>3</v>
      </c>
      <c r="I253" s="2">
        <f>_xlfn.XLOOKUP(employee_data[[#This Row],[Job_Title]],market_benchmarks[Job_Title],market_benchmarks[Market_Median],"Not Found")</f>
        <v>72000</v>
      </c>
      <c r="J253" s="3">
        <f>employee_data[[#This Row],[Current_Salary]]/employee_data[[#This Row],[Market_Median]]</f>
        <v>1.0694444444444444</v>
      </c>
      <c r="K253" s="2">
        <f>employee_data[[#This Row],[Current_Salary]]-employee_data[[#This Row],[Market_Median]]</f>
        <v>5000</v>
      </c>
      <c r="L253" s="3">
        <f>(employee_data[[#This Row],[Current_Salary]]-employee_data[[#This Row],[Market_Median]])/employee_data[[#This Row],[Market_Median]]</f>
        <v>6.9444444444444448E-2</v>
      </c>
      <c r="M253" t="str" cm="1">
        <f t="array" ref="M25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54" spans="1:13" x14ac:dyDescent="0.3">
      <c r="A254" s="1" t="s">
        <v>288</v>
      </c>
      <c r="B254" s="1" t="s">
        <v>30</v>
      </c>
      <c r="C254" s="1" t="s">
        <v>76</v>
      </c>
      <c r="D254" s="1" t="s">
        <v>16</v>
      </c>
      <c r="E254" s="1" t="s">
        <v>12</v>
      </c>
      <c r="F254">
        <v>19</v>
      </c>
      <c r="G254" s="2">
        <v>65700</v>
      </c>
      <c r="H254">
        <v>5</v>
      </c>
      <c r="I254" s="2">
        <f>_xlfn.XLOOKUP(employee_data[[#This Row],[Job_Title]],market_benchmarks[Job_Title],market_benchmarks[Market_Median],"Not Found")</f>
        <v>72000</v>
      </c>
      <c r="J254" s="3">
        <f>employee_data[[#This Row],[Current_Salary]]/employee_data[[#This Row],[Market_Median]]</f>
        <v>0.91249999999999998</v>
      </c>
      <c r="K254" s="2">
        <f>employee_data[[#This Row],[Current_Salary]]-employee_data[[#This Row],[Market_Median]]</f>
        <v>-6300</v>
      </c>
      <c r="L254" s="3">
        <f>(employee_data[[#This Row],[Current_Salary]]-employee_data[[#This Row],[Market_Median]])/employee_data[[#This Row],[Market_Median]]</f>
        <v>-8.7499999999999994E-2</v>
      </c>
      <c r="M254" t="str" cm="1">
        <f t="array" ref="M25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55" spans="1:13" x14ac:dyDescent="0.3">
      <c r="A255" s="1" t="s">
        <v>289</v>
      </c>
      <c r="B255" s="1" t="s">
        <v>38</v>
      </c>
      <c r="C255" s="1" t="s">
        <v>39</v>
      </c>
      <c r="D255" s="1" t="s">
        <v>32</v>
      </c>
      <c r="E255" s="1" t="s">
        <v>12</v>
      </c>
      <c r="F255">
        <v>16</v>
      </c>
      <c r="G255" s="2">
        <v>58300</v>
      </c>
      <c r="H255">
        <v>3</v>
      </c>
      <c r="I255" s="2">
        <f>_xlfn.XLOOKUP(employee_data[[#This Row],[Job_Title]],market_benchmarks[Job_Title],market_benchmarks[Market_Median],"Not Found")</f>
        <v>70000</v>
      </c>
      <c r="J255" s="3">
        <f>employee_data[[#This Row],[Current_Salary]]/employee_data[[#This Row],[Market_Median]]</f>
        <v>0.83285714285714285</v>
      </c>
      <c r="K255" s="2">
        <f>employee_data[[#This Row],[Current_Salary]]-employee_data[[#This Row],[Market_Median]]</f>
        <v>-11700</v>
      </c>
      <c r="L255" s="3">
        <f>(employee_data[[#This Row],[Current_Salary]]-employee_data[[#This Row],[Market_Median]])/employee_data[[#This Row],[Market_Median]]</f>
        <v>-0.16714285714285715</v>
      </c>
      <c r="M255" t="str" cm="1">
        <f t="array" ref="M25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56" spans="1:13" x14ac:dyDescent="0.3">
      <c r="A256" s="1" t="s">
        <v>290</v>
      </c>
      <c r="B256" s="1" t="s">
        <v>14</v>
      </c>
      <c r="C256" s="1" t="s">
        <v>65</v>
      </c>
      <c r="D256" s="1" t="s">
        <v>32</v>
      </c>
      <c r="E256" s="1" t="s">
        <v>12</v>
      </c>
      <c r="F256">
        <v>12</v>
      </c>
      <c r="G256" s="2">
        <v>80600</v>
      </c>
      <c r="H256">
        <v>3</v>
      </c>
      <c r="I256" s="2">
        <f>_xlfn.XLOOKUP(employee_data[[#This Row],[Job_Title]],market_benchmarks[Job_Title],market_benchmarks[Market_Median],"Not Found")</f>
        <v>68000</v>
      </c>
      <c r="J256" s="3">
        <f>employee_data[[#This Row],[Current_Salary]]/employee_data[[#This Row],[Market_Median]]</f>
        <v>1.1852941176470588</v>
      </c>
      <c r="K256" s="2">
        <f>employee_data[[#This Row],[Current_Salary]]-employee_data[[#This Row],[Market_Median]]</f>
        <v>12600</v>
      </c>
      <c r="L256" s="3">
        <f>(employee_data[[#This Row],[Current_Salary]]-employee_data[[#This Row],[Market_Median]])/employee_data[[#This Row],[Market_Median]]</f>
        <v>0.18529411764705883</v>
      </c>
      <c r="M256" t="str" cm="1">
        <f t="array" ref="M25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57" spans="1:13" x14ac:dyDescent="0.3">
      <c r="A257" s="1" t="s">
        <v>291</v>
      </c>
      <c r="B257" s="1" t="s">
        <v>22</v>
      </c>
      <c r="C257" s="1" t="s">
        <v>23</v>
      </c>
      <c r="D257" s="1" t="s">
        <v>11</v>
      </c>
      <c r="E257" s="1" t="s">
        <v>12</v>
      </c>
      <c r="F257">
        <v>1</v>
      </c>
      <c r="G257" s="2">
        <v>52200</v>
      </c>
      <c r="H257">
        <v>3</v>
      </c>
      <c r="I257" s="2">
        <f>_xlfn.XLOOKUP(employee_data[[#This Row],[Job_Title]],market_benchmarks[Job_Title],market_benchmarks[Market_Median],"Not Found")</f>
        <v>50000</v>
      </c>
      <c r="J257" s="3">
        <f>employee_data[[#This Row],[Current_Salary]]/employee_data[[#This Row],[Market_Median]]</f>
        <v>1.044</v>
      </c>
      <c r="K257" s="2">
        <f>employee_data[[#This Row],[Current_Salary]]-employee_data[[#This Row],[Market_Median]]</f>
        <v>2200</v>
      </c>
      <c r="L257" s="3">
        <f>(employee_data[[#This Row],[Current_Salary]]-employee_data[[#This Row],[Market_Median]])/employee_data[[#This Row],[Market_Median]]</f>
        <v>4.3999999999999997E-2</v>
      </c>
      <c r="M257" t="str" cm="1">
        <f t="array" ref="M25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58" spans="1:13" x14ac:dyDescent="0.3">
      <c r="A258" s="1" t="s">
        <v>292</v>
      </c>
      <c r="B258" s="1" t="s">
        <v>14</v>
      </c>
      <c r="C258" s="1" t="s">
        <v>15</v>
      </c>
      <c r="D258" s="1" t="s">
        <v>16</v>
      </c>
      <c r="E258" s="1" t="s">
        <v>12</v>
      </c>
      <c r="F258">
        <v>8</v>
      </c>
      <c r="G258" s="2">
        <v>82100</v>
      </c>
      <c r="H258">
        <v>1</v>
      </c>
      <c r="I258" s="2">
        <f>_xlfn.XLOOKUP(employee_data[[#This Row],[Job_Title]],market_benchmarks[Job_Title],market_benchmarks[Market_Median],"Not Found")</f>
        <v>82000</v>
      </c>
      <c r="J258" s="3">
        <f>employee_data[[#This Row],[Current_Salary]]/employee_data[[#This Row],[Market_Median]]</f>
        <v>1.001219512195122</v>
      </c>
      <c r="K258" s="2">
        <f>employee_data[[#This Row],[Current_Salary]]-employee_data[[#This Row],[Market_Median]]</f>
        <v>100</v>
      </c>
      <c r="L258" s="3">
        <f>(employee_data[[#This Row],[Current_Salary]]-employee_data[[#This Row],[Market_Median]])/employee_data[[#This Row],[Market_Median]]</f>
        <v>1.2195121951219512E-3</v>
      </c>
      <c r="M258" t="str" cm="1">
        <f t="array" ref="M25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59" spans="1:13" x14ac:dyDescent="0.3">
      <c r="A259" s="1" t="s">
        <v>293</v>
      </c>
      <c r="B259" s="1" t="s">
        <v>14</v>
      </c>
      <c r="C259" s="1" t="s">
        <v>15</v>
      </c>
      <c r="D259" s="1" t="s">
        <v>16</v>
      </c>
      <c r="E259" s="1" t="s">
        <v>12</v>
      </c>
      <c r="F259">
        <v>1</v>
      </c>
      <c r="G259" s="2">
        <v>76300</v>
      </c>
      <c r="H259">
        <v>3</v>
      </c>
      <c r="I259" s="2">
        <f>_xlfn.XLOOKUP(employee_data[[#This Row],[Job_Title]],market_benchmarks[Job_Title],market_benchmarks[Market_Median],"Not Found")</f>
        <v>82000</v>
      </c>
      <c r="J259" s="3">
        <f>employee_data[[#This Row],[Current_Salary]]/employee_data[[#This Row],[Market_Median]]</f>
        <v>0.93048780487804883</v>
      </c>
      <c r="K259" s="2">
        <f>employee_data[[#This Row],[Current_Salary]]-employee_data[[#This Row],[Market_Median]]</f>
        <v>-5700</v>
      </c>
      <c r="L259" s="3">
        <f>(employee_data[[#This Row],[Current_Salary]]-employee_data[[#This Row],[Market_Median]])/employee_data[[#This Row],[Market_Median]]</f>
        <v>-6.9512195121951226E-2</v>
      </c>
      <c r="M259" t="str" cm="1">
        <f t="array" ref="M25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60" spans="1:13" x14ac:dyDescent="0.3">
      <c r="A260" s="1" t="s">
        <v>294</v>
      </c>
      <c r="B260" s="1" t="s">
        <v>22</v>
      </c>
      <c r="C260" s="1" t="s">
        <v>41</v>
      </c>
      <c r="D260" s="1" t="s">
        <v>16</v>
      </c>
      <c r="E260" s="1" t="s">
        <v>12</v>
      </c>
      <c r="F260">
        <v>4</v>
      </c>
      <c r="G260" s="2">
        <v>85400</v>
      </c>
      <c r="H260">
        <v>1</v>
      </c>
      <c r="I260" s="2">
        <f>_xlfn.XLOOKUP(employee_data[[#This Row],[Job_Title]],market_benchmarks[Job_Title],market_benchmarks[Market_Median],"Not Found")</f>
        <v>85000</v>
      </c>
      <c r="J260" s="3">
        <f>employee_data[[#This Row],[Current_Salary]]/employee_data[[#This Row],[Market_Median]]</f>
        <v>1.0047058823529411</v>
      </c>
      <c r="K260" s="2">
        <f>employee_data[[#This Row],[Current_Salary]]-employee_data[[#This Row],[Market_Median]]</f>
        <v>400</v>
      </c>
      <c r="L260" s="3">
        <f>(employee_data[[#This Row],[Current_Salary]]-employee_data[[#This Row],[Market_Median]])/employee_data[[#This Row],[Market_Median]]</f>
        <v>4.7058823529411761E-3</v>
      </c>
      <c r="M260" t="str" cm="1">
        <f t="array" ref="M26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1" spans="1:13" x14ac:dyDescent="0.3">
      <c r="A261" s="1" t="s">
        <v>295</v>
      </c>
      <c r="B261" s="1" t="s">
        <v>18</v>
      </c>
      <c r="C261" s="1" t="s">
        <v>28</v>
      </c>
      <c r="D261" s="1" t="s">
        <v>11</v>
      </c>
      <c r="E261" s="1" t="s">
        <v>12</v>
      </c>
      <c r="F261">
        <v>12</v>
      </c>
      <c r="G261" s="2">
        <v>49600</v>
      </c>
      <c r="H261">
        <v>4</v>
      </c>
      <c r="I261" s="2">
        <f>_xlfn.XLOOKUP(employee_data[[#This Row],[Job_Title]],market_benchmarks[Job_Title],market_benchmarks[Market_Median],"Not Found")</f>
        <v>52000</v>
      </c>
      <c r="J261" s="3">
        <f>employee_data[[#This Row],[Current_Salary]]/employee_data[[#This Row],[Market_Median]]</f>
        <v>0.9538461538461539</v>
      </c>
      <c r="K261" s="2">
        <f>employee_data[[#This Row],[Current_Salary]]-employee_data[[#This Row],[Market_Median]]</f>
        <v>-2400</v>
      </c>
      <c r="L261" s="3">
        <f>(employee_data[[#This Row],[Current_Salary]]-employee_data[[#This Row],[Market_Median]])/employee_data[[#This Row],[Market_Median]]</f>
        <v>-4.6153846153846156E-2</v>
      </c>
      <c r="M261" t="str" cm="1">
        <f t="array" ref="M26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2" spans="1:13" x14ac:dyDescent="0.3">
      <c r="A262" s="1" t="s">
        <v>296</v>
      </c>
      <c r="B262" s="1" t="s">
        <v>18</v>
      </c>
      <c r="C262" s="1" t="s">
        <v>43</v>
      </c>
      <c r="D262" s="1" t="s">
        <v>32</v>
      </c>
      <c r="E262" s="1" t="s">
        <v>12</v>
      </c>
      <c r="F262">
        <v>18</v>
      </c>
      <c r="G262" s="2">
        <v>77900</v>
      </c>
      <c r="H262">
        <v>4</v>
      </c>
      <c r="I262" s="2">
        <f>_xlfn.XLOOKUP(employee_data[[#This Row],[Job_Title]],market_benchmarks[Job_Title],market_benchmarks[Market_Median],"Not Found")</f>
        <v>72000</v>
      </c>
      <c r="J262" s="3">
        <f>employee_data[[#This Row],[Current_Salary]]/employee_data[[#This Row],[Market_Median]]</f>
        <v>1.0819444444444444</v>
      </c>
      <c r="K262" s="2">
        <f>employee_data[[#This Row],[Current_Salary]]-employee_data[[#This Row],[Market_Median]]</f>
        <v>5900</v>
      </c>
      <c r="L262" s="3">
        <f>(employee_data[[#This Row],[Current_Salary]]-employee_data[[#This Row],[Market_Median]])/employee_data[[#This Row],[Market_Median]]</f>
        <v>8.1944444444444445E-2</v>
      </c>
      <c r="M262" t="str" cm="1">
        <f t="array" ref="M26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63" spans="1:13" x14ac:dyDescent="0.3">
      <c r="A263" s="1" t="s">
        <v>297</v>
      </c>
      <c r="B263" s="1" t="s">
        <v>14</v>
      </c>
      <c r="C263" s="1" t="s">
        <v>48</v>
      </c>
      <c r="D263" s="1" t="s">
        <v>11</v>
      </c>
      <c r="E263" s="1" t="s">
        <v>12</v>
      </c>
      <c r="F263">
        <v>12</v>
      </c>
      <c r="G263" s="2">
        <v>41800</v>
      </c>
      <c r="H263">
        <v>4</v>
      </c>
      <c r="I263" s="2">
        <f>_xlfn.XLOOKUP(employee_data[[#This Row],[Job_Title]],market_benchmarks[Job_Title],market_benchmarks[Market_Median],"Not Found")</f>
        <v>50000</v>
      </c>
      <c r="J263" s="3">
        <f>employee_data[[#This Row],[Current_Salary]]/employee_data[[#This Row],[Market_Median]]</f>
        <v>0.83599999999999997</v>
      </c>
      <c r="K263" s="2">
        <f>employee_data[[#This Row],[Current_Salary]]-employee_data[[#This Row],[Market_Median]]</f>
        <v>-8200</v>
      </c>
      <c r="L263" s="3">
        <f>(employee_data[[#This Row],[Current_Salary]]-employee_data[[#This Row],[Market_Median]])/employee_data[[#This Row],[Market_Median]]</f>
        <v>-0.16400000000000001</v>
      </c>
      <c r="M263" t="str" cm="1">
        <f t="array" ref="M26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64" spans="1:13" x14ac:dyDescent="0.3">
      <c r="A264" s="1" t="s">
        <v>298</v>
      </c>
      <c r="B264" s="1" t="s">
        <v>14</v>
      </c>
      <c r="C264" s="1" t="s">
        <v>48</v>
      </c>
      <c r="D264" s="1" t="s">
        <v>11</v>
      </c>
      <c r="E264" s="1" t="s">
        <v>12</v>
      </c>
      <c r="F264">
        <v>15</v>
      </c>
      <c r="G264" s="2">
        <v>50000</v>
      </c>
      <c r="H264">
        <v>4</v>
      </c>
      <c r="I264" s="2">
        <f>_xlfn.XLOOKUP(employee_data[[#This Row],[Job_Title]],market_benchmarks[Job_Title],market_benchmarks[Market_Median],"Not Found")</f>
        <v>50000</v>
      </c>
      <c r="J264" s="3">
        <f>employee_data[[#This Row],[Current_Salary]]/employee_data[[#This Row],[Market_Median]]</f>
        <v>1</v>
      </c>
      <c r="K264" s="2">
        <f>employee_data[[#This Row],[Current_Salary]]-employee_data[[#This Row],[Market_Median]]</f>
        <v>0</v>
      </c>
      <c r="L264" s="3">
        <f>(employee_data[[#This Row],[Current_Salary]]-employee_data[[#This Row],[Market_Median]])/employee_data[[#This Row],[Market_Median]]</f>
        <v>0</v>
      </c>
      <c r="M264" t="str" cm="1">
        <f t="array" ref="M26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5" spans="1:13" x14ac:dyDescent="0.3">
      <c r="A265" s="1" t="s">
        <v>299</v>
      </c>
      <c r="B265" s="1" t="s">
        <v>38</v>
      </c>
      <c r="C265" s="1" t="s">
        <v>96</v>
      </c>
      <c r="D265" s="1" t="s">
        <v>16</v>
      </c>
      <c r="E265" s="1" t="s">
        <v>12</v>
      </c>
      <c r="F265">
        <v>5</v>
      </c>
      <c r="G265" s="2">
        <v>91100</v>
      </c>
      <c r="H265">
        <v>3</v>
      </c>
      <c r="I265" s="2">
        <f>_xlfn.XLOOKUP(employee_data[[#This Row],[Job_Title]],market_benchmarks[Job_Title],market_benchmarks[Market_Median],"Not Found")</f>
        <v>88000</v>
      </c>
      <c r="J265" s="3">
        <f>employee_data[[#This Row],[Current_Salary]]/employee_data[[#This Row],[Market_Median]]</f>
        <v>1.0352272727272727</v>
      </c>
      <c r="K265" s="2">
        <f>employee_data[[#This Row],[Current_Salary]]-employee_data[[#This Row],[Market_Median]]</f>
        <v>3100</v>
      </c>
      <c r="L265" s="3">
        <f>(employee_data[[#This Row],[Current_Salary]]-employee_data[[#This Row],[Market_Median]])/employee_data[[#This Row],[Market_Median]]</f>
        <v>3.5227272727272725E-2</v>
      </c>
      <c r="M265" t="str" cm="1">
        <f t="array" ref="M26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6" spans="1:13" x14ac:dyDescent="0.3">
      <c r="A266" s="1" t="s">
        <v>300</v>
      </c>
      <c r="B266" s="1" t="s">
        <v>18</v>
      </c>
      <c r="C266" s="1" t="s">
        <v>19</v>
      </c>
      <c r="D266" s="1" t="s">
        <v>16</v>
      </c>
      <c r="E266" s="1" t="s">
        <v>12</v>
      </c>
      <c r="F266">
        <v>12</v>
      </c>
      <c r="G266" s="2">
        <v>82200</v>
      </c>
      <c r="H266">
        <v>4</v>
      </c>
      <c r="I266" s="2">
        <f>_xlfn.XLOOKUP(employee_data[[#This Row],[Job_Title]],market_benchmarks[Job_Title],market_benchmarks[Market_Median],"Not Found")</f>
        <v>90000</v>
      </c>
      <c r="J266" s="3">
        <f>employee_data[[#This Row],[Current_Salary]]/employee_data[[#This Row],[Market_Median]]</f>
        <v>0.91333333333333333</v>
      </c>
      <c r="K266" s="2">
        <f>employee_data[[#This Row],[Current_Salary]]-employee_data[[#This Row],[Market_Median]]</f>
        <v>-7800</v>
      </c>
      <c r="L266" s="3">
        <f>(employee_data[[#This Row],[Current_Salary]]-employee_data[[#This Row],[Market_Median]])/employee_data[[#This Row],[Market_Median]]</f>
        <v>-8.666666666666667E-2</v>
      </c>
      <c r="M266" t="str" cm="1">
        <f t="array" ref="M26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67" spans="1:13" x14ac:dyDescent="0.3">
      <c r="A267" s="1" t="s">
        <v>301</v>
      </c>
      <c r="B267" s="1" t="s">
        <v>22</v>
      </c>
      <c r="C267" s="1" t="s">
        <v>41</v>
      </c>
      <c r="D267" s="1" t="s">
        <v>16</v>
      </c>
      <c r="E267" s="1" t="s">
        <v>12</v>
      </c>
      <c r="F267">
        <v>17</v>
      </c>
      <c r="G267" s="2">
        <v>73700</v>
      </c>
      <c r="H267">
        <v>4</v>
      </c>
      <c r="I267" s="2">
        <f>_xlfn.XLOOKUP(employee_data[[#This Row],[Job_Title]],market_benchmarks[Job_Title],market_benchmarks[Market_Median],"Not Found")</f>
        <v>85000</v>
      </c>
      <c r="J267" s="3">
        <f>employee_data[[#This Row],[Current_Salary]]/employee_data[[#This Row],[Market_Median]]</f>
        <v>0.86705882352941177</v>
      </c>
      <c r="K267" s="2">
        <f>employee_data[[#This Row],[Current_Salary]]-employee_data[[#This Row],[Market_Median]]</f>
        <v>-11300</v>
      </c>
      <c r="L267" s="3">
        <f>(employee_data[[#This Row],[Current_Salary]]-employee_data[[#This Row],[Market_Median]])/employee_data[[#This Row],[Market_Median]]</f>
        <v>-0.13294117647058823</v>
      </c>
      <c r="M267" t="str" cm="1">
        <f t="array" ref="M26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68" spans="1:13" x14ac:dyDescent="0.3">
      <c r="A268" s="1" t="s">
        <v>302</v>
      </c>
      <c r="B268" s="1" t="s">
        <v>22</v>
      </c>
      <c r="C268" s="1" t="s">
        <v>23</v>
      </c>
      <c r="D268" s="1" t="s">
        <v>11</v>
      </c>
      <c r="E268" s="1" t="s">
        <v>12</v>
      </c>
      <c r="F268">
        <v>11</v>
      </c>
      <c r="G268" s="2">
        <v>51600</v>
      </c>
      <c r="H268">
        <v>1</v>
      </c>
      <c r="I268" s="2">
        <f>_xlfn.XLOOKUP(employee_data[[#This Row],[Job_Title]],market_benchmarks[Job_Title],market_benchmarks[Market_Median],"Not Found")</f>
        <v>50000</v>
      </c>
      <c r="J268" s="3">
        <f>employee_data[[#This Row],[Current_Salary]]/employee_data[[#This Row],[Market_Median]]</f>
        <v>1.032</v>
      </c>
      <c r="K268" s="2">
        <f>employee_data[[#This Row],[Current_Salary]]-employee_data[[#This Row],[Market_Median]]</f>
        <v>1600</v>
      </c>
      <c r="L268" s="3">
        <f>(employee_data[[#This Row],[Current_Salary]]-employee_data[[#This Row],[Market_Median]])/employee_data[[#This Row],[Market_Median]]</f>
        <v>3.2000000000000001E-2</v>
      </c>
      <c r="M268" t="str" cm="1">
        <f t="array" ref="M26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69" spans="1:13" x14ac:dyDescent="0.3">
      <c r="A269" s="1" t="s">
        <v>303</v>
      </c>
      <c r="B269" s="1" t="s">
        <v>30</v>
      </c>
      <c r="C269" s="1" t="s">
        <v>53</v>
      </c>
      <c r="D269" s="1" t="s">
        <v>11</v>
      </c>
      <c r="E269" s="1" t="s">
        <v>12</v>
      </c>
      <c r="F269">
        <v>16</v>
      </c>
      <c r="G269" s="2">
        <v>38500</v>
      </c>
      <c r="H269">
        <v>2</v>
      </c>
      <c r="I269" s="2">
        <f>_xlfn.XLOOKUP(employee_data[[#This Row],[Job_Title]],market_benchmarks[Job_Title],market_benchmarks[Market_Median],"Not Found")</f>
        <v>48000</v>
      </c>
      <c r="J269" s="3">
        <f>employee_data[[#This Row],[Current_Salary]]/employee_data[[#This Row],[Market_Median]]</f>
        <v>0.80208333333333337</v>
      </c>
      <c r="K269" s="2">
        <f>employee_data[[#This Row],[Current_Salary]]-employee_data[[#This Row],[Market_Median]]</f>
        <v>-9500</v>
      </c>
      <c r="L269" s="3">
        <f>(employee_data[[#This Row],[Current_Salary]]-employee_data[[#This Row],[Market_Median]])/employee_data[[#This Row],[Market_Median]]</f>
        <v>-0.19791666666666666</v>
      </c>
      <c r="M269" t="str" cm="1">
        <f t="array" ref="M269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70" spans="1:13" x14ac:dyDescent="0.3">
      <c r="A270" s="1" t="s">
        <v>304</v>
      </c>
      <c r="B270" s="1" t="s">
        <v>38</v>
      </c>
      <c r="C270" s="1" t="s">
        <v>55</v>
      </c>
      <c r="D270" s="1" t="s">
        <v>11</v>
      </c>
      <c r="E270" s="1" t="s">
        <v>12</v>
      </c>
      <c r="F270">
        <v>2</v>
      </c>
      <c r="G270" s="2">
        <v>55600</v>
      </c>
      <c r="H270">
        <v>2</v>
      </c>
      <c r="I270" s="2">
        <f>_xlfn.XLOOKUP(employee_data[[#This Row],[Job_Title]],market_benchmarks[Job_Title],market_benchmarks[Market_Median],"Not Found")</f>
        <v>52000</v>
      </c>
      <c r="J270" s="3">
        <f>employee_data[[#This Row],[Current_Salary]]/employee_data[[#This Row],[Market_Median]]</f>
        <v>1.0692307692307692</v>
      </c>
      <c r="K270" s="2">
        <f>employee_data[[#This Row],[Current_Salary]]-employee_data[[#This Row],[Market_Median]]</f>
        <v>3600</v>
      </c>
      <c r="L270" s="3">
        <f>(employee_data[[#This Row],[Current_Salary]]-employee_data[[#This Row],[Market_Median]])/employee_data[[#This Row],[Market_Median]]</f>
        <v>6.9230769230769235E-2</v>
      </c>
      <c r="M270" t="str" cm="1">
        <f t="array" ref="M270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71" spans="1:13" x14ac:dyDescent="0.3">
      <c r="A271" s="1" t="s">
        <v>305</v>
      </c>
      <c r="B271" s="1" t="s">
        <v>9</v>
      </c>
      <c r="C271" s="1" t="s">
        <v>25</v>
      </c>
      <c r="D271" s="1" t="s">
        <v>16</v>
      </c>
      <c r="E271" s="1" t="s">
        <v>12</v>
      </c>
      <c r="F271">
        <v>4</v>
      </c>
      <c r="G271" s="2">
        <v>90800</v>
      </c>
      <c r="H271">
        <v>2</v>
      </c>
      <c r="I271" s="2">
        <f>_xlfn.XLOOKUP(employee_data[[#This Row],[Job_Title]],market_benchmarks[Job_Title],market_benchmarks[Market_Median],"Not Found")</f>
        <v>98000</v>
      </c>
      <c r="J271" s="3">
        <f>employee_data[[#This Row],[Current_Salary]]/employee_data[[#This Row],[Market_Median]]</f>
        <v>0.92653061224489797</v>
      </c>
      <c r="K271" s="2">
        <f>employee_data[[#This Row],[Current_Salary]]-employee_data[[#This Row],[Market_Median]]</f>
        <v>-7200</v>
      </c>
      <c r="L271" s="3">
        <f>(employee_data[[#This Row],[Current_Salary]]-employee_data[[#This Row],[Market_Median]])/employee_data[[#This Row],[Market_Median]]</f>
        <v>-7.3469387755102047E-2</v>
      </c>
      <c r="M271" t="str" cm="1">
        <f t="array" ref="M27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72" spans="1:13" x14ac:dyDescent="0.3">
      <c r="A272" s="1" t="s">
        <v>306</v>
      </c>
      <c r="B272" s="1" t="s">
        <v>9</v>
      </c>
      <c r="C272" s="1" t="s">
        <v>60</v>
      </c>
      <c r="D272" s="1" t="s">
        <v>32</v>
      </c>
      <c r="E272" s="1" t="s">
        <v>12</v>
      </c>
      <c r="F272">
        <v>3</v>
      </c>
      <c r="G272" s="2">
        <v>71300</v>
      </c>
      <c r="H272">
        <v>3</v>
      </c>
      <c r="I272" s="2">
        <f>_xlfn.XLOOKUP(employee_data[[#This Row],[Job_Title]],market_benchmarks[Job_Title],market_benchmarks[Market_Median],"Not Found")</f>
        <v>78000</v>
      </c>
      <c r="J272" s="3">
        <f>employee_data[[#This Row],[Current_Salary]]/employee_data[[#This Row],[Market_Median]]</f>
        <v>0.91410256410256407</v>
      </c>
      <c r="K272" s="2">
        <f>employee_data[[#This Row],[Current_Salary]]-employee_data[[#This Row],[Market_Median]]</f>
        <v>-6700</v>
      </c>
      <c r="L272" s="3">
        <f>(employee_data[[#This Row],[Current_Salary]]-employee_data[[#This Row],[Market_Median]])/employee_data[[#This Row],[Market_Median]]</f>
        <v>-8.5897435897435898E-2</v>
      </c>
      <c r="M272" t="str" cm="1">
        <f t="array" ref="M27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73" spans="1:13" x14ac:dyDescent="0.3">
      <c r="A273" s="1" t="s">
        <v>307</v>
      </c>
      <c r="B273" s="1" t="s">
        <v>38</v>
      </c>
      <c r="C273" s="1" t="s">
        <v>39</v>
      </c>
      <c r="D273" s="1" t="s">
        <v>32</v>
      </c>
      <c r="E273" s="1" t="s">
        <v>12</v>
      </c>
      <c r="F273">
        <v>0</v>
      </c>
      <c r="G273" s="2">
        <v>67700</v>
      </c>
      <c r="H273">
        <v>2</v>
      </c>
      <c r="I273" s="2">
        <f>_xlfn.XLOOKUP(employee_data[[#This Row],[Job_Title]],market_benchmarks[Job_Title],market_benchmarks[Market_Median],"Not Found")</f>
        <v>70000</v>
      </c>
      <c r="J273" s="3">
        <f>employee_data[[#This Row],[Current_Salary]]/employee_data[[#This Row],[Market_Median]]</f>
        <v>0.96714285714285719</v>
      </c>
      <c r="K273" s="2">
        <f>employee_data[[#This Row],[Current_Salary]]-employee_data[[#This Row],[Market_Median]]</f>
        <v>-2300</v>
      </c>
      <c r="L273" s="3">
        <f>(employee_data[[#This Row],[Current_Salary]]-employee_data[[#This Row],[Market_Median]])/employee_data[[#This Row],[Market_Median]]</f>
        <v>-3.2857142857142856E-2</v>
      </c>
      <c r="M273" t="str" cm="1">
        <f t="array" ref="M27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74" spans="1:13" x14ac:dyDescent="0.3">
      <c r="A274" s="1" t="s">
        <v>308</v>
      </c>
      <c r="B274" s="1" t="s">
        <v>14</v>
      </c>
      <c r="C274" s="1" t="s">
        <v>65</v>
      </c>
      <c r="D274" s="1" t="s">
        <v>32</v>
      </c>
      <c r="E274" s="1" t="s">
        <v>12</v>
      </c>
      <c r="F274">
        <v>17</v>
      </c>
      <c r="G274" s="2">
        <v>60600</v>
      </c>
      <c r="H274">
        <v>5</v>
      </c>
      <c r="I274" s="2">
        <f>_xlfn.XLOOKUP(employee_data[[#This Row],[Job_Title]],market_benchmarks[Job_Title],market_benchmarks[Market_Median],"Not Found")</f>
        <v>68000</v>
      </c>
      <c r="J274" s="3">
        <f>employee_data[[#This Row],[Current_Salary]]/employee_data[[#This Row],[Market_Median]]</f>
        <v>0.89117647058823535</v>
      </c>
      <c r="K274" s="2">
        <f>employee_data[[#This Row],[Current_Salary]]-employee_data[[#This Row],[Market_Median]]</f>
        <v>-7400</v>
      </c>
      <c r="L274" s="3">
        <f>(employee_data[[#This Row],[Current_Salary]]-employee_data[[#This Row],[Market_Median]])/employee_data[[#This Row],[Market_Median]]</f>
        <v>-0.10882352941176471</v>
      </c>
      <c r="M274" t="str" cm="1">
        <f t="array" ref="M27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75" spans="1:13" x14ac:dyDescent="0.3">
      <c r="A275" s="1" t="s">
        <v>309</v>
      </c>
      <c r="B275" s="1" t="s">
        <v>14</v>
      </c>
      <c r="C275" s="1" t="s">
        <v>15</v>
      </c>
      <c r="D275" s="1" t="s">
        <v>16</v>
      </c>
      <c r="E275" s="1" t="s">
        <v>12</v>
      </c>
      <c r="F275">
        <v>19</v>
      </c>
      <c r="G275" s="2">
        <v>93600</v>
      </c>
      <c r="H275">
        <v>4</v>
      </c>
      <c r="I275" s="2">
        <f>_xlfn.XLOOKUP(employee_data[[#This Row],[Job_Title]],market_benchmarks[Job_Title],market_benchmarks[Market_Median],"Not Found")</f>
        <v>82000</v>
      </c>
      <c r="J275" s="3">
        <f>employee_data[[#This Row],[Current_Salary]]/employee_data[[#This Row],[Market_Median]]</f>
        <v>1.1414634146341462</v>
      </c>
      <c r="K275" s="2">
        <f>employee_data[[#This Row],[Current_Salary]]-employee_data[[#This Row],[Market_Median]]</f>
        <v>11600</v>
      </c>
      <c r="L275" s="3">
        <f>(employee_data[[#This Row],[Current_Salary]]-employee_data[[#This Row],[Market_Median]])/employee_data[[#This Row],[Market_Median]]</f>
        <v>0.14146341463414633</v>
      </c>
      <c r="M275" t="str" cm="1">
        <f t="array" ref="M27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76" spans="1:13" x14ac:dyDescent="0.3">
      <c r="A276" s="1" t="s">
        <v>310</v>
      </c>
      <c r="B276" s="1" t="s">
        <v>18</v>
      </c>
      <c r="C276" s="1" t="s">
        <v>19</v>
      </c>
      <c r="D276" s="1" t="s">
        <v>16</v>
      </c>
      <c r="E276" s="1" t="s">
        <v>12</v>
      </c>
      <c r="F276">
        <v>0</v>
      </c>
      <c r="G276" s="2">
        <v>99600</v>
      </c>
      <c r="H276">
        <v>3</v>
      </c>
      <c r="I276" s="2">
        <f>_xlfn.XLOOKUP(employee_data[[#This Row],[Job_Title]],market_benchmarks[Job_Title],market_benchmarks[Market_Median],"Not Found")</f>
        <v>90000</v>
      </c>
      <c r="J276" s="3">
        <f>employee_data[[#This Row],[Current_Salary]]/employee_data[[#This Row],[Market_Median]]</f>
        <v>1.1066666666666667</v>
      </c>
      <c r="K276" s="2">
        <f>employee_data[[#This Row],[Current_Salary]]-employee_data[[#This Row],[Market_Median]]</f>
        <v>9600</v>
      </c>
      <c r="L276" s="3">
        <f>(employee_data[[#This Row],[Current_Salary]]-employee_data[[#This Row],[Market_Median]])/employee_data[[#This Row],[Market_Median]]</f>
        <v>0.10666666666666667</v>
      </c>
      <c r="M276" t="str" cm="1">
        <f t="array" ref="M27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77" spans="1:13" x14ac:dyDescent="0.3">
      <c r="A277" s="1" t="s">
        <v>311</v>
      </c>
      <c r="B277" s="1" t="s">
        <v>38</v>
      </c>
      <c r="C277" s="1" t="s">
        <v>96</v>
      </c>
      <c r="D277" s="1" t="s">
        <v>16</v>
      </c>
      <c r="E277" s="1" t="s">
        <v>12</v>
      </c>
      <c r="F277">
        <v>1</v>
      </c>
      <c r="G277" s="2">
        <v>83000</v>
      </c>
      <c r="H277">
        <v>3</v>
      </c>
      <c r="I277" s="2">
        <f>_xlfn.XLOOKUP(employee_data[[#This Row],[Job_Title]],market_benchmarks[Job_Title],market_benchmarks[Market_Median],"Not Found")</f>
        <v>88000</v>
      </c>
      <c r="J277" s="3">
        <f>employee_data[[#This Row],[Current_Salary]]/employee_data[[#This Row],[Market_Median]]</f>
        <v>0.94318181818181823</v>
      </c>
      <c r="K277" s="2">
        <f>employee_data[[#This Row],[Current_Salary]]-employee_data[[#This Row],[Market_Median]]</f>
        <v>-5000</v>
      </c>
      <c r="L277" s="3">
        <f>(employee_data[[#This Row],[Current_Salary]]-employee_data[[#This Row],[Market_Median]])/employee_data[[#This Row],[Market_Median]]</f>
        <v>-5.6818181818181816E-2</v>
      </c>
      <c r="M277" t="str" cm="1">
        <f t="array" ref="M27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78" spans="1:13" x14ac:dyDescent="0.3">
      <c r="A278" s="1" t="s">
        <v>312</v>
      </c>
      <c r="B278" s="1" t="s">
        <v>18</v>
      </c>
      <c r="C278" s="1" t="s">
        <v>28</v>
      </c>
      <c r="D278" s="1" t="s">
        <v>11</v>
      </c>
      <c r="E278" s="1" t="s">
        <v>12</v>
      </c>
      <c r="F278">
        <v>2</v>
      </c>
      <c r="G278" s="2">
        <v>51700</v>
      </c>
      <c r="H278">
        <v>3</v>
      </c>
      <c r="I278" s="2">
        <f>_xlfn.XLOOKUP(employee_data[[#This Row],[Job_Title]],market_benchmarks[Job_Title],market_benchmarks[Market_Median],"Not Found")</f>
        <v>52000</v>
      </c>
      <c r="J278" s="3">
        <f>employee_data[[#This Row],[Current_Salary]]/employee_data[[#This Row],[Market_Median]]</f>
        <v>0.99423076923076925</v>
      </c>
      <c r="K278" s="2">
        <f>employee_data[[#This Row],[Current_Salary]]-employee_data[[#This Row],[Market_Median]]</f>
        <v>-300</v>
      </c>
      <c r="L278" s="3">
        <f>(employee_data[[#This Row],[Current_Salary]]-employee_data[[#This Row],[Market_Median]])/employee_data[[#This Row],[Market_Median]]</f>
        <v>-5.7692307692307696E-3</v>
      </c>
      <c r="M278" t="str" cm="1">
        <f t="array" ref="M27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79" spans="1:13" x14ac:dyDescent="0.3">
      <c r="A279" s="1" t="s">
        <v>313</v>
      </c>
      <c r="B279" s="1" t="s">
        <v>18</v>
      </c>
      <c r="C279" s="1" t="s">
        <v>19</v>
      </c>
      <c r="D279" s="1" t="s">
        <v>16</v>
      </c>
      <c r="E279" s="1" t="s">
        <v>12</v>
      </c>
      <c r="F279">
        <v>19</v>
      </c>
      <c r="G279" s="2">
        <v>81000</v>
      </c>
      <c r="H279">
        <v>4</v>
      </c>
      <c r="I279" s="2">
        <f>_xlfn.XLOOKUP(employee_data[[#This Row],[Job_Title]],market_benchmarks[Job_Title],market_benchmarks[Market_Median],"Not Found")</f>
        <v>90000</v>
      </c>
      <c r="J279" s="3">
        <f>employee_data[[#This Row],[Current_Salary]]/employee_data[[#This Row],[Market_Median]]</f>
        <v>0.9</v>
      </c>
      <c r="K279" s="2">
        <f>employee_data[[#This Row],[Current_Salary]]-employee_data[[#This Row],[Market_Median]]</f>
        <v>-9000</v>
      </c>
      <c r="L279" s="3">
        <f>(employee_data[[#This Row],[Current_Salary]]-employee_data[[#This Row],[Market_Median]])/employee_data[[#This Row],[Market_Median]]</f>
        <v>-0.1</v>
      </c>
      <c r="M279" t="str" cm="1">
        <f t="array" ref="M27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80" spans="1:13" x14ac:dyDescent="0.3">
      <c r="A280" s="1" t="s">
        <v>314</v>
      </c>
      <c r="B280" s="1" t="s">
        <v>22</v>
      </c>
      <c r="C280" s="1" t="s">
        <v>36</v>
      </c>
      <c r="D280" s="1" t="s">
        <v>32</v>
      </c>
      <c r="E280" s="1" t="s">
        <v>12</v>
      </c>
      <c r="F280">
        <v>10</v>
      </c>
      <c r="G280" s="2">
        <v>69000</v>
      </c>
      <c r="H280">
        <v>3</v>
      </c>
      <c r="I280" s="2">
        <f>_xlfn.XLOOKUP(employee_data[[#This Row],[Job_Title]],market_benchmarks[Job_Title],market_benchmarks[Market_Median],"Not Found")</f>
        <v>68000</v>
      </c>
      <c r="J280" s="3">
        <f>employee_data[[#This Row],[Current_Salary]]/employee_data[[#This Row],[Market_Median]]</f>
        <v>1.0147058823529411</v>
      </c>
      <c r="K280" s="2">
        <f>employee_data[[#This Row],[Current_Salary]]-employee_data[[#This Row],[Market_Median]]</f>
        <v>1000</v>
      </c>
      <c r="L280" s="3">
        <f>(employee_data[[#This Row],[Current_Salary]]-employee_data[[#This Row],[Market_Median]])/employee_data[[#This Row],[Market_Median]]</f>
        <v>1.4705882352941176E-2</v>
      </c>
      <c r="M280" t="str" cm="1">
        <f t="array" ref="M28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81" spans="1:13" x14ac:dyDescent="0.3">
      <c r="A281" s="1" t="s">
        <v>315</v>
      </c>
      <c r="B281" s="1" t="s">
        <v>18</v>
      </c>
      <c r="C281" s="1" t="s">
        <v>19</v>
      </c>
      <c r="D281" s="1" t="s">
        <v>16</v>
      </c>
      <c r="E281" s="1" t="s">
        <v>12</v>
      </c>
      <c r="F281">
        <v>19</v>
      </c>
      <c r="G281" s="2">
        <v>84600</v>
      </c>
      <c r="H281">
        <v>3</v>
      </c>
      <c r="I281" s="2">
        <f>_xlfn.XLOOKUP(employee_data[[#This Row],[Job_Title]],market_benchmarks[Job_Title],market_benchmarks[Market_Median],"Not Found")</f>
        <v>90000</v>
      </c>
      <c r="J281" s="3">
        <f>employee_data[[#This Row],[Current_Salary]]/employee_data[[#This Row],[Market_Median]]</f>
        <v>0.94</v>
      </c>
      <c r="K281" s="2">
        <f>employee_data[[#This Row],[Current_Salary]]-employee_data[[#This Row],[Market_Median]]</f>
        <v>-5400</v>
      </c>
      <c r="L281" s="3">
        <f>(employee_data[[#This Row],[Current_Salary]]-employee_data[[#This Row],[Market_Median]])/employee_data[[#This Row],[Market_Median]]</f>
        <v>-0.06</v>
      </c>
      <c r="M281" t="str" cm="1">
        <f t="array" ref="M28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82" spans="1:13" x14ac:dyDescent="0.3">
      <c r="A282" s="1" t="s">
        <v>316</v>
      </c>
      <c r="B282" s="1" t="s">
        <v>30</v>
      </c>
      <c r="C282" s="1" t="s">
        <v>53</v>
      </c>
      <c r="D282" s="1" t="s">
        <v>11</v>
      </c>
      <c r="E282" s="1" t="s">
        <v>12</v>
      </c>
      <c r="F282">
        <v>2</v>
      </c>
      <c r="G282" s="2">
        <v>51200</v>
      </c>
      <c r="H282">
        <v>3</v>
      </c>
      <c r="I282" s="2">
        <f>_xlfn.XLOOKUP(employee_data[[#This Row],[Job_Title]],market_benchmarks[Job_Title],market_benchmarks[Market_Median],"Not Found")</f>
        <v>48000</v>
      </c>
      <c r="J282" s="3">
        <f>employee_data[[#This Row],[Current_Salary]]/employee_data[[#This Row],[Market_Median]]</f>
        <v>1.0666666666666667</v>
      </c>
      <c r="K282" s="2">
        <f>employee_data[[#This Row],[Current_Salary]]-employee_data[[#This Row],[Market_Median]]</f>
        <v>3200</v>
      </c>
      <c r="L282" s="3">
        <f>(employee_data[[#This Row],[Current_Salary]]-employee_data[[#This Row],[Market_Median]])/employee_data[[#This Row],[Market_Median]]</f>
        <v>6.6666666666666666E-2</v>
      </c>
      <c r="M282" t="str" cm="1">
        <f t="array" ref="M28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83" spans="1:13" x14ac:dyDescent="0.3">
      <c r="A283" s="1" t="s">
        <v>317</v>
      </c>
      <c r="B283" s="1" t="s">
        <v>38</v>
      </c>
      <c r="C283" s="1" t="s">
        <v>55</v>
      </c>
      <c r="D283" s="1" t="s">
        <v>11</v>
      </c>
      <c r="E283" s="1" t="s">
        <v>12</v>
      </c>
      <c r="F283">
        <v>2</v>
      </c>
      <c r="G283" s="2">
        <v>44600</v>
      </c>
      <c r="H283">
        <v>1</v>
      </c>
      <c r="I283" s="2">
        <f>_xlfn.XLOOKUP(employee_data[[#This Row],[Job_Title]],market_benchmarks[Job_Title],market_benchmarks[Market_Median],"Not Found")</f>
        <v>52000</v>
      </c>
      <c r="J283" s="3">
        <f>employee_data[[#This Row],[Current_Salary]]/employee_data[[#This Row],[Market_Median]]</f>
        <v>0.85769230769230764</v>
      </c>
      <c r="K283" s="2">
        <f>employee_data[[#This Row],[Current_Salary]]-employee_data[[#This Row],[Market_Median]]</f>
        <v>-7400</v>
      </c>
      <c r="L283" s="3">
        <f>(employee_data[[#This Row],[Current_Salary]]-employee_data[[#This Row],[Market_Median]])/employee_data[[#This Row],[Market_Median]]</f>
        <v>-0.1423076923076923</v>
      </c>
      <c r="M283" t="str" cm="1">
        <f t="array" ref="M28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84" spans="1:13" x14ac:dyDescent="0.3">
      <c r="A284" s="1" t="s">
        <v>318</v>
      </c>
      <c r="B284" s="1" t="s">
        <v>30</v>
      </c>
      <c r="C284" s="1" t="s">
        <v>31</v>
      </c>
      <c r="D284" s="1" t="s">
        <v>32</v>
      </c>
      <c r="E284" s="1" t="s">
        <v>12</v>
      </c>
      <c r="F284">
        <v>14</v>
      </c>
      <c r="G284" s="2">
        <v>48000</v>
      </c>
      <c r="H284">
        <v>3</v>
      </c>
      <c r="I284" s="2">
        <f>_xlfn.XLOOKUP(employee_data[[#This Row],[Job_Title]],market_benchmarks[Job_Title],market_benchmarks[Market_Median],"Not Found")</f>
        <v>58000</v>
      </c>
      <c r="J284" s="3">
        <f>employee_data[[#This Row],[Current_Salary]]/employee_data[[#This Row],[Market_Median]]</f>
        <v>0.82758620689655171</v>
      </c>
      <c r="K284" s="2">
        <f>employee_data[[#This Row],[Current_Salary]]-employee_data[[#This Row],[Market_Median]]</f>
        <v>-10000</v>
      </c>
      <c r="L284" s="3">
        <f>(employee_data[[#This Row],[Current_Salary]]-employee_data[[#This Row],[Market_Median]])/employee_data[[#This Row],[Market_Median]]</f>
        <v>-0.17241379310344829</v>
      </c>
      <c r="M284" t="str" cm="1">
        <f t="array" ref="M28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85" spans="1:13" x14ac:dyDescent="0.3">
      <c r="A285" s="1" t="s">
        <v>319</v>
      </c>
      <c r="B285" s="1" t="s">
        <v>30</v>
      </c>
      <c r="C285" s="1" t="s">
        <v>53</v>
      </c>
      <c r="D285" s="1" t="s">
        <v>11</v>
      </c>
      <c r="E285" s="1" t="s">
        <v>12</v>
      </c>
      <c r="F285">
        <v>20</v>
      </c>
      <c r="G285" s="2">
        <v>46300</v>
      </c>
      <c r="H285">
        <v>3</v>
      </c>
      <c r="I285" s="2">
        <f>_xlfn.XLOOKUP(employee_data[[#This Row],[Job_Title]],market_benchmarks[Job_Title],market_benchmarks[Market_Median],"Not Found")</f>
        <v>48000</v>
      </c>
      <c r="J285" s="3">
        <f>employee_data[[#This Row],[Current_Salary]]/employee_data[[#This Row],[Market_Median]]</f>
        <v>0.96458333333333335</v>
      </c>
      <c r="K285" s="2">
        <f>employee_data[[#This Row],[Current_Salary]]-employee_data[[#This Row],[Market_Median]]</f>
        <v>-1700</v>
      </c>
      <c r="L285" s="3">
        <f>(employee_data[[#This Row],[Current_Salary]]-employee_data[[#This Row],[Market_Median]])/employee_data[[#This Row],[Market_Median]]</f>
        <v>-3.5416666666666666E-2</v>
      </c>
      <c r="M285" t="str" cm="1">
        <f t="array" ref="M28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86" spans="1:13" x14ac:dyDescent="0.3">
      <c r="A286" s="1" t="s">
        <v>320</v>
      </c>
      <c r="B286" s="1" t="s">
        <v>14</v>
      </c>
      <c r="C286" s="1" t="s">
        <v>65</v>
      </c>
      <c r="D286" s="1" t="s">
        <v>32</v>
      </c>
      <c r="E286" s="1" t="s">
        <v>12</v>
      </c>
      <c r="F286">
        <v>17</v>
      </c>
      <c r="G286" s="2">
        <v>58200</v>
      </c>
      <c r="H286">
        <v>4</v>
      </c>
      <c r="I286" s="2">
        <f>_xlfn.XLOOKUP(employee_data[[#This Row],[Job_Title]],market_benchmarks[Job_Title],market_benchmarks[Market_Median],"Not Found")</f>
        <v>68000</v>
      </c>
      <c r="J286" s="3">
        <f>employee_data[[#This Row],[Current_Salary]]/employee_data[[#This Row],[Market_Median]]</f>
        <v>0.85588235294117643</v>
      </c>
      <c r="K286" s="2">
        <f>employee_data[[#This Row],[Current_Salary]]-employee_data[[#This Row],[Market_Median]]</f>
        <v>-9800</v>
      </c>
      <c r="L286" s="3">
        <f>(employee_data[[#This Row],[Current_Salary]]-employee_data[[#This Row],[Market_Median]])/employee_data[[#This Row],[Market_Median]]</f>
        <v>-0.14411764705882352</v>
      </c>
      <c r="M286" t="str" cm="1">
        <f t="array" ref="M28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87" spans="1:13" x14ac:dyDescent="0.3">
      <c r="A287" s="1" t="s">
        <v>321</v>
      </c>
      <c r="B287" s="1" t="s">
        <v>18</v>
      </c>
      <c r="C287" s="1" t="s">
        <v>43</v>
      </c>
      <c r="D287" s="1" t="s">
        <v>32</v>
      </c>
      <c r="E287" s="1" t="s">
        <v>12</v>
      </c>
      <c r="F287">
        <v>2</v>
      </c>
      <c r="G287" s="2">
        <v>70700</v>
      </c>
      <c r="H287">
        <v>3</v>
      </c>
      <c r="I287" s="2">
        <f>_xlfn.XLOOKUP(employee_data[[#This Row],[Job_Title]],market_benchmarks[Job_Title],market_benchmarks[Market_Median],"Not Found")</f>
        <v>72000</v>
      </c>
      <c r="J287" s="3">
        <f>employee_data[[#This Row],[Current_Salary]]/employee_data[[#This Row],[Market_Median]]</f>
        <v>0.9819444444444444</v>
      </c>
      <c r="K287" s="2">
        <f>employee_data[[#This Row],[Current_Salary]]-employee_data[[#This Row],[Market_Median]]</f>
        <v>-1300</v>
      </c>
      <c r="L287" s="3">
        <f>(employee_data[[#This Row],[Current_Salary]]-employee_data[[#This Row],[Market_Median]])/employee_data[[#This Row],[Market_Median]]</f>
        <v>-1.8055555555555554E-2</v>
      </c>
      <c r="M287" t="str" cm="1">
        <f t="array" ref="M28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88" spans="1:13" x14ac:dyDescent="0.3">
      <c r="A288" s="1" t="s">
        <v>322</v>
      </c>
      <c r="B288" s="1" t="s">
        <v>30</v>
      </c>
      <c r="C288" s="1" t="s">
        <v>31</v>
      </c>
      <c r="D288" s="1" t="s">
        <v>32</v>
      </c>
      <c r="E288" s="1" t="s">
        <v>12</v>
      </c>
      <c r="F288">
        <v>13</v>
      </c>
      <c r="G288" s="2">
        <v>46800</v>
      </c>
      <c r="H288">
        <v>3</v>
      </c>
      <c r="I288" s="2">
        <f>_xlfn.XLOOKUP(employee_data[[#This Row],[Job_Title]],market_benchmarks[Job_Title],market_benchmarks[Market_Median],"Not Found")</f>
        <v>58000</v>
      </c>
      <c r="J288" s="3">
        <f>employee_data[[#This Row],[Current_Salary]]/employee_data[[#This Row],[Market_Median]]</f>
        <v>0.80689655172413788</v>
      </c>
      <c r="K288" s="2">
        <f>employee_data[[#This Row],[Current_Salary]]-employee_data[[#This Row],[Market_Median]]</f>
        <v>-11200</v>
      </c>
      <c r="L288" s="3">
        <f>(employee_data[[#This Row],[Current_Salary]]-employee_data[[#This Row],[Market_Median]])/employee_data[[#This Row],[Market_Median]]</f>
        <v>-0.19310344827586207</v>
      </c>
      <c r="M288" t="str" cm="1">
        <f t="array" ref="M288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89" spans="1:13" x14ac:dyDescent="0.3">
      <c r="A289" s="1" t="s">
        <v>323</v>
      </c>
      <c r="B289" s="1" t="s">
        <v>30</v>
      </c>
      <c r="C289" s="1" t="s">
        <v>31</v>
      </c>
      <c r="D289" s="1" t="s">
        <v>32</v>
      </c>
      <c r="E289" s="1" t="s">
        <v>12</v>
      </c>
      <c r="F289">
        <v>15</v>
      </c>
      <c r="G289" s="2">
        <v>58600</v>
      </c>
      <c r="H289">
        <v>3</v>
      </c>
      <c r="I289" s="2">
        <f>_xlfn.XLOOKUP(employee_data[[#This Row],[Job_Title]],market_benchmarks[Job_Title],market_benchmarks[Market_Median],"Not Found")</f>
        <v>58000</v>
      </c>
      <c r="J289" s="3">
        <f>employee_data[[#This Row],[Current_Salary]]/employee_data[[#This Row],[Market_Median]]</f>
        <v>1.0103448275862068</v>
      </c>
      <c r="K289" s="2">
        <f>employee_data[[#This Row],[Current_Salary]]-employee_data[[#This Row],[Market_Median]]</f>
        <v>600</v>
      </c>
      <c r="L289" s="3">
        <f>(employee_data[[#This Row],[Current_Salary]]-employee_data[[#This Row],[Market_Median]])/employee_data[[#This Row],[Market_Median]]</f>
        <v>1.0344827586206896E-2</v>
      </c>
      <c r="M289" t="str" cm="1">
        <f t="array" ref="M28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90" spans="1:13" x14ac:dyDescent="0.3">
      <c r="A290" s="1" t="s">
        <v>324</v>
      </c>
      <c r="B290" s="1" t="s">
        <v>22</v>
      </c>
      <c r="C290" s="1" t="s">
        <v>36</v>
      </c>
      <c r="D290" s="1" t="s">
        <v>32</v>
      </c>
      <c r="E290" s="1" t="s">
        <v>12</v>
      </c>
      <c r="F290">
        <v>20</v>
      </c>
      <c r="G290" s="2">
        <v>60300</v>
      </c>
      <c r="H290">
        <v>3</v>
      </c>
      <c r="I290" s="2">
        <f>_xlfn.XLOOKUP(employee_data[[#This Row],[Job_Title]],market_benchmarks[Job_Title],market_benchmarks[Market_Median],"Not Found")</f>
        <v>68000</v>
      </c>
      <c r="J290" s="3">
        <f>employee_data[[#This Row],[Current_Salary]]/employee_data[[#This Row],[Market_Median]]</f>
        <v>0.8867647058823529</v>
      </c>
      <c r="K290" s="2">
        <f>employee_data[[#This Row],[Current_Salary]]-employee_data[[#This Row],[Market_Median]]</f>
        <v>-7700</v>
      </c>
      <c r="L290" s="3">
        <f>(employee_data[[#This Row],[Current_Salary]]-employee_data[[#This Row],[Market_Median]])/employee_data[[#This Row],[Market_Median]]</f>
        <v>-0.11323529411764706</v>
      </c>
      <c r="M290" t="str" cm="1">
        <f t="array" ref="M29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91" spans="1:13" x14ac:dyDescent="0.3">
      <c r="A291" s="1" t="s">
        <v>325</v>
      </c>
      <c r="B291" s="1" t="s">
        <v>18</v>
      </c>
      <c r="C291" s="1" t="s">
        <v>28</v>
      </c>
      <c r="D291" s="1" t="s">
        <v>11</v>
      </c>
      <c r="E291" s="1" t="s">
        <v>12</v>
      </c>
      <c r="F291">
        <v>7</v>
      </c>
      <c r="G291" s="2">
        <v>54600</v>
      </c>
      <c r="H291">
        <v>3</v>
      </c>
      <c r="I291" s="2">
        <f>_xlfn.XLOOKUP(employee_data[[#This Row],[Job_Title]],market_benchmarks[Job_Title],market_benchmarks[Market_Median],"Not Found")</f>
        <v>52000</v>
      </c>
      <c r="J291" s="3">
        <f>employee_data[[#This Row],[Current_Salary]]/employee_data[[#This Row],[Market_Median]]</f>
        <v>1.05</v>
      </c>
      <c r="K291" s="2">
        <f>employee_data[[#This Row],[Current_Salary]]-employee_data[[#This Row],[Market_Median]]</f>
        <v>2600</v>
      </c>
      <c r="L291" s="3">
        <f>(employee_data[[#This Row],[Current_Salary]]-employee_data[[#This Row],[Market_Median]])/employee_data[[#This Row],[Market_Median]]</f>
        <v>0.05</v>
      </c>
      <c r="M291" t="str" cm="1">
        <f t="array" ref="M29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92" spans="1:13" x14ac:dyDescent="0.3">
      <c r="A292" s="1" t="s">
        <v>326</v>
      </c>
      <c r="B292" s="1" t="s">
        <v>22</v>
      </c>
      <c r="C292" s="1" t="s">
        <v>36</v>
      </c>
      <c r="D292" s="1" t="s">
        <v>32</v>
      </c>
      <c r="E292" s="1" t="s">
        <v>12</v>
      </c>
      <c r="F292">
        <v>13</v>
      </c>
      <c r="G292" s="2">
        <v>70700</v>
      </c>
      <c r="H292">
        <v>5</v>
      </c>
      <c r="I292" s="2">
        <f>_xlfn.XLOOKUP(employee_data[[#This Row],[Job_Title]],market_benchmarks[Job_Title],market_benchmarks[Market_Median],"Not Found")</f>
        <v>68000</v>
      </c>
      <c r="J292" s="3">
        <f>employee_data[[#This Row],[Current_Salary]]/employee_data[[#This Row],[Market_Median]]</f>
        <v>1.0397058823529413</v>
      </c>
      <c r="K292" s="2">
        <f>employee_data[[#This Row],[Current_Salary]]-employee_data[[#This Row],[Market_Median]]</f>
        <v>2700</v>
      </c>
      <c r="L292" s="3">
        <f>(employee_data[[#This Row],[Current_Salary]]-employee_data[[#This Row],[Market_Median]])/employee_data[[#This Row],[Market_Median]]</f>
        <v>3.9705882352941174E-2</v>
      </c>
      <c r="M292" t="str" cm="1">
        <f t="array" ref="M29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93" spans="1:13" x14ac:dyDescent="0.3">
      <c r="A293" s="1" t="s">
        <v>327</v>
      </c>
      <c r="B293" s="1" t="s">
        <v>30</v>
      </c>
      <c r="C293" s="1" t="s">
        <v>53</v>
      </c>
      <c r="D293" s="1" t="s">
        <v>11</v>
      </c>
      <c r="E293" s="1" t="s">
        <v>12</v>
      </c>
      <c r="F293">
        <v>5</v>
      </c>
      <c r="G293" s="2">
        <v>51700</v>
      </c>
      <c r="H293">
        <v>5</v>
      </c>
      <c r="I293" s="2">
        <f>_xlfn.XLOOKUP(employee_data[[#This Row],[Job_Title]],market_benchmarks[Job_Title],market_benchmarks[Market_Median],"Not Found")</f>
        <v>48000</v>
      </c>
      <c r="J293" s="3">
        <f>employee_data[[#This Row],[Current_Salary]]/employee_data[[#This Row],[Market_Median]]</f>
        <v>1.0770833333333334</v>
      </c>
      <c r="K293" s="2">
        <f>employee_data[[#This Row],[Current_Salary]]-employee_data[[#This Row],[Market_Median]]</f>
        <v>3700</v>
      </c>
      <c r="L293" s="3">
        <f>(employee_data[[#This Row],[Current_Salary]]-employee_data[[#This Row],[Market_Median]])/employee_data[[#This Row],[Market_Median]]</f>
        <v>7.7083333333333337E-2</v>
      </c>
      <c r="M293" t="str" cm="1">
        <f t="array" ref="M29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94" spans="1:13" x14ac:dyDescent="0.3">
      <c r="A294" s="1" t="s">
        <v>328</v>
      </c>
      <c r="B294" s="1" t="s">
        <v>14</v>
      </c>
      <c r="C294" s="1" t="s">
        <v>65</v>
      </c>
      <c r="D294" s="1" t="s">
        <v>32</v>
      </c>
      <c r="E294" s="1" t="s">
        <v>12</v>
      </c>
      <c r="F294">
        <v>18</v>
      </c>
      <c r="G294" s="2">
        <v>64600</v>
      </c>
      <c r="H294">
        <v>2</v>
      </c>
      <c r="I294" s="2">
        <f>_xlfn.XLOOKUP(employee_data[[#This Row],[Job_Title]],market_benchmarks[Job_Title],market_benchmarks[Market_Median],"Not Found")</f>
        <v>68000</v>
      </c>
      <c r="J294" s="3">
        <f>employee_data[[#This Row],[Current_Salary]]/employee_data[[#This Row],[Market_Median]]</f>
        <v>0.95</v>
      </c>
      <c r="K294" s="2">
        <f>employee_data[[#This Row],[Current_Salary]]-employee_data[[#This Row],[Market_Median]]</f>
        <v>-3400</v>
      </c>
      <c r="L294" s="3">
        <f>(employee_data[[#This Row],[Current_Salary]]-employee_data[[#This Row],[Market_Median]])/employee_data[[#This Row],[Market_Median]]</f>
        <v>-0.05</v>
      </c>
      <c r="M294" t="str" cm="1">
        <f t="array" ref="M29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295" spans="1:13" x14ac:dyDescent="0.3">
      <c r="A295" s="1" t="s">
        <v>329</v>
      </c>
      <c r="B295" s="1" t="s">
        <v>22</v>
      </c>
      <c r="C295" s="1" t="s">
        <v>23</v>
      </c>
      <c r="D295" s="1" t="s">
        <v>11</v>
      </c>
      <c r="E295" s="1" t="s">
        <v>12</v>
      </c>
      <c r="F295">
        <v>9</v>
      </c>
      <c r="G295" s="2">
        <v>41700</v>
      </c>
      <c r="H295">
        <v>4</v>
      </c>
      <c r="I295" s="2">
        <f>_xlfn.XLOOKUP(employee_data[[#This Row],[Job_Title]],market_benchmarks[Job_Title],market_benchmarks[Market_Median],"Not Found")</f>
        <v>50000</v>
      </c>
      <c r="J295" s="3">
        <f>employee_data[[#This Row],[Current_Salary]]/employee_data[[#This Row],[Market_Median]]</f>
        <v>0.83399999999999996</v>
      </c>
      <c r="K295" s="2">
        <f>employee_data[[#This Row],[Current_Salary]]-employee_data[[#This Row],[Market_Median]]</f>
        <v>-8300</v>
      </c>
      <c r="L295" s="3">
        <f>(employee_data[[#This Row],[Current_Salary]]-employee_data[[#This Row],[Market_Median]])/employee_data[[#This Row],[Market_Median]]</f>
        <v>-0.16600000000000001</v>
      </c>
      <c r="M295" t="str" cm="1">
        <f t="array" ref="M29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296" spans="1:13" x14ac:dyDescent="0.3">
      <c r="A296" s="1" t="s">
        <v>330</v>
      </c>
      <c r="B296" s="1" t="s">
        <v>38</v>
      </c>
      <c r="C296" s="1" t="s">
        <v>55</v>
      </c>
      <c r="D296" s="1" t="s">
        <v>11</v>
      </c>
      <c r="E296" s="1" t="s">
        <v>12</v>
      </c>
      <c r="F296">
        <v>1</v>
      </c>
      <c r="G296" s="2">
        <v>47000</v>
      </c>
      <c r="H296">
        <v>3</v>
      </c>
      <c r="I296" s="2">
        <f>_xlfn.XLOOKUP(employee_data[[#This Row],[Job_Title]],market_benchmarks[Job_Title],market_benchmarks[Market_Median],"Not Found")</f>
        <v>52000</v>
      </c>
      <c r="J296" s="3">
        <f>employee_data[[#This Row],[Current_Salary]]/employee_data[[#This Row],[Market_Median]]</f>
        <v>0.90384615384615385</v>
      </c>
      <c r="K296" s="2">
        <f>employee_data[[#This Row],[Current_Salary]]-employee_data[[#This Row],[Market_Median]]</f>
        <v>-5000</v>
      </c>
      <c r="L296" s="3">
        <f>(employee_data[[#This Row],[Current_Salary]]-employee_data[[#This Row],[Market_Median]])/employee_data[[#This Row],[Market_Median]]</f>
        <v>-9.6153846153846159E-2</v>
      </c>
      <c r="M296" t="str" cm="1">
        <f t="array" ref="M29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297" spans="1:13" x14ac:dyDescent="0.3">
      <c r="A297" s="1" t="s">
        <v>331</v>
      </c>
      <c r="B297" s="1" t="s">
        <v>38</v>
      </c>
      <c r="C297" s="1" t="s">
        <v>39</v>
      </c>
      <c r="D297" s="1" t="s">
        <v>32</v>
      </c>
      <c r="E297" s="1" t="s">
        <v>12</v>
      </c>
      <c r="F297">
        <v>6</v>
      </c>
      <c r="G297" s="2">
        <v>74000</v>
      </c>
      <c r="H297">
        <v>3</v>
      </c>
      <c r="I297" s="2">
        <f>_xlfn.XLOOKUP(employee_data[[#This Row],[Job_Title]],market_benchmarks[Job_Title],market_benchmarks[Market_Median],"Not Found")</f>
        <v>70000</v>
      </c>
      <c r="J297" s="3">
        <f>employee_data[[#This Row],[Current_Salary]]/employee_data[[#This Row],[Market_Median]]</f>
        <v>1.0571428571428572</v>
      </c>
      <c r="K297" s="2">
        <f>employee_data[[#This Row],[Current_Salary]]-employee_data[[#This Row],[Market_Median]]</f>
        <v>4000</v>
      </c>
      <c r="L297" s="3">
        <f>(employee_data[[#This Row],[Current_Salary]]-employee_data[[#This Row],[Market_Median]])/employee_data[[#This Row],[Market_Median]]</f>
        <v>5.7142857142857141E-2</v>
      </c>
      <c r="M297" t="str" cm="1">
        <f t="array" ref="M29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98" spans="1:13" x14ac:dyDescent="0.3">
      <c r="A298" s="1" t="s">
        <v>332</v>
      </c>
      <c r="B298" s="1" t="s">
        <v>38</v>
      </c>
      <c r="C298" s="1" t="s">
        <v>39</v>
      </c>
      <c r="D298" s="1" t="s">
        <v>32</v>
      </c>
      <c r="E298" s="1" t="s">
        <v>12</v>
      </c>
      <c r="F298">
        <v>14</v>
      </c>
      <c r="G298" s="2">
        <v>76300</v>
      </c>
      <c r="H298">
        <v>3</v>
      </c>
      <c r="I298" s="2">
        <f>_xlfn.XLOOKUP(employee_data[[#This Row],[Job_Title]],market_benchmarks[Job_Title],market_benchmarks[Market_Median],"Not Found")</f>
        <v>70000</v>
      </c>
      <c r="J298" s="3">
        <f>employee_data[[#This Row],[Current_Salary]]/employee_data[[#This Row],[Market_Median]]</f>
        <v>1.0900000000000001</v>
      </c>
      <c r="K298" s="2">
        <f>employee_data[[#This Row],[Current_Salary]]-employee_data[[#This Row],[Market_Median]]</f>
        <v>6300</v>
      </c>
      <c r="L298" s="3">
        <f>(employee_data[[#This Row],[Current_Salary]]-employee_data[[#This Row],[Market_Median]])/employee_data[[#This Row],[Market_Median]]</f>
        <v>0.09</v>
      </c>
      <c r="M298" t="str" cm="1">
        <f t="array" ref="M29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299" spans="1:13" x14ac:dyDescent="0.3">
      <c r="A299" s="1" t="s">
        <v>333</v>
      </c>
      <c r="B299" s="1" t="s">
        <v>22</v>
      </c>
      <c r="C299" s="1" t="s">
        <v>23</v>
      </c>
      <c r="D299" s="1" t="s">
        <v>11</v>
      </c>
      <c r="E299" s="1" t="s">
        <v>12</v>
      </c>
      <c r="F299">
        <v>5</v>
      </c>
      <c r="G299" s="2">
        <v>52100</v>
      </c>
      <c r="H299">
        <v>3</v>
      </c>
      <c r="I299" s="2">
        <f>_xlfn.XLOOKUP(employee_data[[#This Row],[Job_Title]],market_benchmarks[Job_Title],market_benchmarks[Market_Median],"Not Found")</f>
        <v>50000</v>
      </c>
      <c r="J299" s="3">
        <f>employee_data[[#This Row],[Current_Salary]]/employee_data[[#This Row],[Market_Median]]</f>
        <v>1.042</v>
      </c>
      <c r="K299" s="2">
        <f>employee_data[[#This Row],[Current_Salary]]-employee_data[[#This Row],[Market_Median]]</f>
        <v>2100</v>
      </c>
      <c r="L299" s="3">
        <f>(employee_data[[#This Row],[Current_Salary]]-employee_data[[#This Row],[Market_Median]])/employee_data[[#This Row],[Market_Median]]</f>
        <v>4.2000000000000003E-2</v>
      </c>
      <c r="M299" t="str" cm="1">
        <f t="array" ref="M29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00" spans="1:13" x14ac:dyDescent="0.3">
      <c r="A300" s="1" t="s">
        <v>334</v>
      </c>
      <c r="B300" s="1" t="s">
        <v>30</v>
      </c>
      <c r="C300" s="1" t="s">
        <v>31</v>
      </c>
      <c r="D300" s="1" t="s">
        <v>32</v>
      </c>
      <c r="E300" s="1" t="s">
        <v>12</v>
      </c>
      <c r="F300">
        <v>11</v>
      </c>
      <c r="G300" s="2">
        <v>60300</v>
      </c>
      <c r="H300">
        <v>4</v>
      </c>
      <c r="I300" s="2">
        <f>_xlfn.XLOOKUP(employee_data[[#This Row],[Job_Title]],market_benchmarks[Job_Title],market_benchmarks[Market_Median],"Not Found")</f>
        <v>58000</v>
      </c>
      <c r="J300" s="3">
        <f>employee_data[[#This Row],[Current_Salary]]/employee_data[[#This Row],[Market_Median]]</f>
        <v>1.039655172413793</v>
      </c>
      <c r="K300" s="2">
        <f>employee_data[[#This Row],[Current_Salary]]-employee_data[[#This Row],[Market_Median]]</f>
        <v>2300</v>
      </c>
      <c r="L300" s="3">
        <f>(employee_data[[#This Row],[Current_Salary]]-employee_data[[#This Row],[Market_Median]])/employee_data[[#This Row],[Market_Median]]</f>
        <v>3.9655172413793106E-2</v>
      </c>
      <c r="M300" t="str" cm="1">
        <f t="array" ref="M30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01" spans="1:13" x14ac:dyDescent="0.3">
      <c r="A301" s="1" t="s">
        <v>335</v>
      </c>
      <c r="B301" s="1" t="s">
        <v>22</v>
      </c>
      <c r="C301" s="1" t="s">
        <v>41</v>
      </c>
      <c r="D301" s="1" t="s">
        <v>16</v>
      </c>
      <c r="E301" s="1" t="s">
        <v>12</v>
      </c>
      <c r="F301">
        <v>6</v>
      </c>
      <c r="G301" s="2">
        <v>86100</v>
      </c>
      <c r="H301">
        <v>4</v>
      </c>
      <c r="I301" s="2">
        <f>_xlfn.XLOOKUP(employee_data[[#This Row],[Job_Title]],market_benchmarks[Job_Title],market_benchmarks[Market_Median],"Not Found")</f>
        <v>85000</v>
      </c>
      <c r="J301" s="3">
        <f>employee_data[[#This Row],[Current_Salary]]/employee_data[[#This Row],[Market_Median]]</f>
        <v>1.0129411764705882</v>
      </c>
      <c r="K301" s="2">
        <f>employee_data[[#This Row],[Current_Salary]]-employee_data[[#This Row],[Market_Median]]</f>
        <v>1100</v>
      </c>
      <c r="L301" s="3">
        <f>(employee_data[[#This Row],[Current_Salary]]-employee_data[[#This Row],[Market_Median]])/employee_data[[#This Row],[Market_Median]]</f>
        <v>1.2941176470588235E-2</v>
      </c>
      <c r="M301" t="str" cm="1">
        <f t="array" ref="M30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02" spans="1:13" x14ac:dyDescent="0.3">
      <c r="A302" s="1" t="s">
        <v>336</v>
      </c>
      <c r="B302" s="1" t="s">
        <v>9</v>
      </c>
      <c r="C302" s="1" t="s">
        <v>60</v>
      </c>
      <c r="D302" s="1" t="s">
        <v>32</v>
      </c>
      <c r="E302" s="1" t="s">
        <v>12</v>
      </c>
      <c r="F302">
        <v>2</v>
      </c>
      <c r="G302" s="2">
        <v>72400</v>
      </c>
      <c r="H302">
        <v>1</v>
      </c>
      <c r="I302" s="2">
        <f>_xlfn.XLOOKUP(employee_data[[#This Row],[Job_Title]],market_benchmarks[Job_Title],market_benchmarks[Market_Median],"Not Found")</f>
        <v>78000</v>
      </c>
      <c r="J302" s="3">
        <f>employee_data[[#This Row],[Current_Salary]]/employee_data[[#This Row],[Market_Median]]</f>
        <v>0.92820512820512824</v>
      </c>
      <c r="K302" s="2">
        <f>employee_data[[#This Row],[Current_Salary]]-employee_data[[#This Row],[Market_Median]]</f>
        <v>-5600</v>
      </c>
      <c r="L302" s="3">
        <f>(employee_data[[#This Row],[Current_Salary]]-employee_data[[#This Row],[Market_Median]])/employee_data[[#This Row],[Market_Median]]</f>
        <v>-7.179487179487179E-2</v>
      </c>
      <c r="M302" t="str" cm="1">
        <f t="array" ref="M30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03" spans="1:13" x14ac:dyDescent="0.3">
      <c r="A303" s="1" t="s">
        <v>337</v>
      </c>
      <c r="B303" s="1" t="s">
        <v>38</v>
      </c>
      <c r="C303" s="1" t="s">
        <v>39</v>
      </c>
      <c r="D303" s="1" t="s">
        <v>32</v>
      </c>
      <c r="E303" s="1" t="s">
        <v>12</v>
      </c>
      <c r="F303">
        <v>11</v>
      </c>
      <c r="G303" s="2">
        <v>58000</v>
      </c>
      <c r="H303">
        <v>3</v>
      </c>
      <c r="I303" s="2">
        <f>_xlfn.XLOOKUP(employee_data[[#This Row],[Job_Title]],market_benchmarks[Job_Title],market_benchmarks[Market_Median],"Not Found")</f>
        <v>70000</v>
      </c>
      <c r="J303" s="3">
        <f>employee_data[[#This Row],[Current_Salary]]/employee_data[[#This Row],[Market_Median]]</f>
        <v>0.82857142857142863</v>
      </c>
      <c r="K303" s="2">
        <f>employee_data[[#This Row],[Current_Salary]]-employee_data[[#This Row],[Market_Median]]</f>
        <v>-12000</v>
      </c>
      <c r="L303" s="3">
        <f>(employee_data[[#This Row],[Current_Salary]]-employee_data[[#This Row],[Market_Median]])/employee_data[[#This Row],[Market_Median]]</f>
        <v>-0.17142857142857143</v>
      </c>
      <c r="M303" t="str" cm="1">
        <f t="array" ref="M30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04" spans="1:13" x14ac:dyDescent="0.3">
      <c r="A304" s="1" t="s">
        <v>338</v>
      </c>
      <c r="B304" s="1" t="s">
        <v>18</v>
      </c>
      <c r="C304" s="1" t="s">
        <v>28</v>
      </c>
      <c r="D304" s="1" t="s">
        <v>11</v>
      </c>
      <c r="E304" s="1" t="s">
        <v>12</v>
      </c>
      <c r="F304">
        <v>12</v>
      </c>
      <c r="G304" s="2">
        <v>47600</v>
      </c>
      <c r="H304">
        <v>3</v>
      </c>
      <c r="I304" s="2">
        <f>_xlfn.XLOOKUP(employee_data[[#This Row],[Job_Title]],market_benchmarks[Job_Title],market_benchmarks[Market_Median],"Not Found")</f>
        <v>52000</v>
      </c>
      <c r="J304" s="3">
        <f>employee_data[[#This Row],[Current_Salary]]/employee_data[[#This Row],[Market_Median]]</f>
        <v>0.91538461538461535</v>
      </c>
      <c r="K304" s="2">
        <f>employee_data[[#This Row],[Current_Salary]]-employee_data[[#This Row],[Market_Median]]</f>
        <v>-4400</v>
      </c>
      <c r="L304" s="3">
        <f>(employee_data[[#This Row],[Current_Salary]]-employee_data[[#This Row],[Market_Median]])/employee_data[[#This Row],[Market_Median]]</f>
        <v>-8.461538461538462E-2</v>
      </c>
      <c r="M304" t="str" cm="1">
        <f t="array" ref="M30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05" spans="1:13" x14ac:dyDescent="0.3">
      <c r="A305" s="1" t="s">
        <v>339</v>
      </c>
      <c r="B305" s="1" t="s">
        <v>18</v>
      </c>
      <c r="C305" s="1" t="s">
        <v>28</v>
      </c>
      <c r="D305" s="1" t="s">
        <v>11</v>
      </c>
      <c r="E305" s="1" t="s">
        <v>12</v>
      </c>
      <c r="F305">
        <v>20</v>
      </c>
      <c r="G305" s="2">
        <v>38900</v>
      </c>
      <c r="H305">
        <v>4</v>
      </c>
      <c r="I305" s="2">
        <f>_xlfn.XLOOKUP(employee_data[[#This Row],[Job_Title]],market_benchmarks[Job_Title],market_benchmarks[Market_Median],"Not Found")</f>
        <v>52000</v>
      </c>
      <c r="J305" s="3">
        <f>employee_data[[#This Row],[Current_Salary]]/employee_data[[#This Row],[Market_Median]]</f>
        <v>0.74807692307692308</v>
      </c>
      <c r="K305" s="2">
        <f>employee_data[[#This Row],[Current_Salary]]-employee_data[[#This Row],[Market_Median]]</f>
        <v>-13100</v>
      </c>
      <c r="L305" s="3">
        <f>(employee_data[[#This Row],[Current_Salary]]-employee_data[[#This Row],[Market_Median]])/employee_data[[#This Row],[Market_Median]]</f>
        <v>-0.25192307692307692</v>
      </c>
      <c r="M305" t="str" cm="1">
        <f t="array" ref="M30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06" spans="1:13" x14ac:dyDescent="0.3">
      <c r="A306" s="1" t="s">
        <v>340</v>
      </c>
      <c r="B306" s="1" t="s">
        <v>14</v>
      </c>
      <c r="C306" s="1" t="s">
        <v>65</v>
      </c>
      <c r="D306" s="1" t="s">
        <v>32</v>
      </c>
      <c r="E306" s="1" t="s">
        <v>12</v>
      </c>
      <c r="F306">
        <v>5</v>
      </c>
      <c r="G306" s="2">
        <v>64900</v>
      </c>
      <c r="H306">
        <v>4</v>
      </c>
      <c r="I306" s="2">
        <f>_xlfn.XLOOKUP(employee_data[[#This Row],[Job_Title]],market_benchmarks[Job_Title],market_benchmarks[Market_Median],"Not Found")</f>
        <v>68000</v>
      </c>
      <c r="J306" s="3">
        <f>employee_data[[#This Row],[Current_Salary]]/employee_data[[#This Row],[Market_Median]]</f>
        <v>0.9544117647058824</v>
      </c>
      <c r="K306" s="2">
        <f>employee_data[[#This Row],[Current_Salary]]-employee_data[[#This Row],[Market_Median]]</f>
        <v>-3100</v>
      </c>
      <c r="L306" s="3">
        <f>(employee_data[[#This Row],[Current_Salary]]-employee_data[[#This Row],[Market_Median]])/employee_data[[#This Row],[Market_Median]]</f>
        <v>-4.5588235294117645E-2</v>
      </c>
      <c r="M306" t="str" cm="1">
        <f t="array" ref="M30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07" spans="1:13" x14ac:dyDescent="0.3">
      <c r="A307" s="1" t="s">
        <v>341</v>
      </c>
      <c r="B307" s="1" t="s">
        <v>38</v>
      </c>
      <c r="C307" s="1" t="s">
        <v>96</v>
      </c>
      <c r="D307" s="1" t="s">
        <v>16</v>
      </c>
      <c r="E307" s="1" t="s">
        <v>12</v>
      </c>
      <c r="F307">
        <v>2</v>
      </c>
      <c r="G307" s="2">
        <v>84700</v>
      </c>
      <c r="H307">
        <v>3</v>
      </c>
      <c r="I307" s="2">
        <f>_xlfn.XLOOKUP(employee_data[[#This Row],[Job_Title]],market_benchmarks[Job_Title],market_benchmarks[Market_Median],"Not Found")</f>
        <v>88000</v>
      </c>
      <c r="J307" s="3">
        <f>employee_data[[#This Row],[Current_Salary]]/employee_data[[#This Row],[Market_Median]]</f>
        <v>0.96250000000000002</v>
      </c>
      <c r="K307" s="2">
        <f>employee_data[[#This Row],[Current_Salary]]-employee_data[[#This Row],[Market_Median]]</f>
        <v>-3300</v>
      </c>
      <c r="L307" s="3">
        <f>(employee_data[[#This Row],[Current_Salary]]-employee_data[[#This Row],[Market_Median]])/employee_data[[#This Row],[Market_Median]]</f>
        <v>-3.7499999999999999E-2</v>
      </c>
      <c r="M307" t="str" cm="1">
        <f t="array" ref="M30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08" spans="1:13" x14ac:dyDescent="0.3">
      <c r="A308" s="1" t="s">
        <v>342</v>
      </c>
      <c r="B308" s="1" t="s">
        <v>22</v>
      </c>
      <c r="C308" s="1" t="s">
        <v>41</v>
      </c>
      <c r="D308" s="1" t="s">
        <v>16</v>
      </c>
      <c r="E308" s="1" t="s">
        <v>12</v>
      </c>
      <c r="F308">
        <v>14</v>
      </c>
      <c r="G308" s="2">
        <v>90000</v>
      </c>
      <c r="H308">
        <v>3</v>
      </c>
      <c r="I308" s="2">
        <f>_xlfn.XLOOKUP(employee_data[[#This Row],[Job_Title]],market_benchmarks[Job_Title],market_benchmarks[Market_Median],"Not Found")</f>
        <v>85000</v>
      </c>
      <c r="J308" s="3">
        <f>employee_data[[#This Row],[Current_Salary]]/employee_data[[#This Row],[Market_Median]]</f>
        <v>1.0588235294117647</v>
      </c>
      <c r="K308" s="2">
        <f>employee_data[[#This Row],[Current_Salary]]-employee_data[[#This Row],[Market_Median]]</f>
        <v>5000</v>
      </c>
      <c r="L308" s="3">
        <f>(employee_data[[#This Row],[Current_Salary]]-employee_data[[#This Row],[Market_Median]])/employee_data[[#This Row],[Market_Median]]</f>
        <v>5.8823529411764705E-2</v>
      </c>
      <c r="M308" t="str" cm="1">
        <f t="array" ref="M30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09" spans="1:13" x14ac:dyDescent="0.3">
      <c r="A309" s="1" t="s">
        <v>343</v>
      </c>
      <c r="B309" s="1" t="s">
        <v>38</v>
      </c>
      <c r="C309" s="1" t="s">
        <v>55</v>
      </c>
      <c r="D309" s="1" t="s">
        <v>11</v>
      </c>
      <c r="E309" s="1" t="s">
        <v>12</v>
      </c>
      <c r="F309">
        <v>19</v>
      </c>
      <c r="G309" s="2">
        <v>48800</v>
      </c>
      <c r="H309">
        <v>3</v>
      </c>
      <c r="I309" s="2">
        <f>_xlfn.XLOOKUP(employee_data[[#This Row],[Job_Title]],market_benchmarks[Job_Title],market_benchmarks[Market_Median],"Not Found")</f>
        <v>52000</v>
      </c>
      <c r="J309" s="3">
        <f>employee_data[[#This Row],[Current_Salary]]/employee_data[[#This Row],[Market_Median]]</f>
        <v>0.93846153846153846</v>
      </c>
      <c r="K309" s="2">
        <f>employee_data[[#This Row],[Current_Salary]]-employee_data[[#This Row],[Market_Median]]</f>
        <v>-3200</v>
      </c>
      <c r="L309" s="3">
        <f>(employee_data[[#This Row],[Current_Salary]]-employee_data[[#This Row],[Market_Median]])/employee_data[[#This Row],[Market_Median]]</f>
        <v>-6.1538461538461542E-2</v>
      </c>
      <c r="M309" t="str" cm="1">
        <f t="array" ref="M30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10" spans="1:13" x14ac:dyDescent="0.3">
      <c r="A310" s="1" t="s">
        <v>344</v>
      </c>
      <c r="B310" s="1" t="s">
        <v>9</v>
      </c>
      <c r="C310" s="1" t="s">
        <v>60</v>
      </c>
      <c r="D310" s="1" t="s">
        <v>32</v>
      </c>
      <c r="E310" s="1" t="s">
        <v>12</v>
      </c>
      <c r="F310">
        <v>19</v>
      </c>
      <c r="G310" s="2">
        <v>81500</v>
      </c>
      <c r="H310">
        <v>3</v>
      </c>
      <c r="I310" s="2">
        <f>_xlfn.XLOOKUP(employee_data[[#This Row],[Job_Title]],market_benchmarks[Job_Title],market_benchmarks[Market_Median],"Not Found")</f>
        <v>78000</v>
      </c>
      <c r="J310" s="3">
        <f>employee_data[[#This Row],[Current_Salary]]/employee_data[[#This Row],[Market_Median]]</f>
        <v>1.0448717948717949</v>
      </c>
      <c r="K310" s="2">
        <f>employee_data[[#This Row],[Current_Salary]]-employee_data[[#This Row],[Market_Median]]</f>
        <v>3500</v>
      </c>
      <c r="L310" s="3">
        <f>(employee_data[[#This Row],[Current_Salary]]-employee_data[[#This Row],[Market_Median]])/employee_data[[#This Row],[Market_Median]]</f>
        <v>4.4871794871794872E-2</v>
      </c>
      <c r="M310" t="str" cm="1">
        <f t="array" ref="M31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11" spans="1:13" x14ac:dyDescent="0.3">
      <c r="A311" s="1" t="s">
        <v>345</v>
      </c>
      <c r="B311" s="1" t="s">
        <v>30</v>
      </c>
      <c r="C311" s="1" t="s">
        <v>31</v>
      </c>
      <c r="D311" s="1" t="s">
        <v>32</v>
      </c>
      <c r="E311" s="1" t="s">
        <v>12</v>
      </c>
      <c r="F311">
        <v>20</v>
      </c>
      <c r="G311" s="2">
        <v>72200</v>
      </c>
      <c r="H311">
        <v>3</v>
      </c>
      <c r="I311" s="2">
        <f>_xlfn.XLOOKUP(employee_data[[#This Row],[Job_Title]],market_benchmarks[Job_Title],market_benchmarks[Market_Median],"Not Found")</f>
        <v>58000</v>
      </c>
      <c r="J311" s="3">
        <f>employee_data[[#This Row],[Current_Salary]]/employee_data[[#This Row],[Market_Median]]</f>
        <v>1.2448275862068965</v>
      </c>
      <c r="K311" s="2">
        <f>employee_data[[#This Row],[Current_Salary]]-employee_data[[#This Row],[Market_Median]]</f>
        <v>14200</v>
      </c>
      <c r="L311" s="3">
        <f>(employee_data[[#This Row],[Current_Salary]]-employee_data[[#This Row],[Market_Median]])/employee_data[[#This Row],[Market_Median]]</f>
        <v>0.24482758620689654</v>
      </c>
      <c r="M311" t="str" cm="1">
        <f t="array" ref="M31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12" spans="1:13" x14ac:dyDescent="0.3">
      <c r="A312" s="1" t="s">
        <v>346</v>
      </c>
      <c r="B312" s="1" t="s">
        <v>9</v>
      </c>
      <c r="C312" s="1" t="s">
        <v>60</v>
      </c>
      <c r="D312" s="1" t="s">
        <v>32</v>
      </c>
      <c r="E312" s="1" t="s">
        <v>12</v>
      </c>
      <c r="F312">
        <v>14</v>
      </c>
      <c r="G312" s="2">
        <v>61400</v>
      </c>
      <c r="H312">
        <v>5</v>
      </c>
      <c r="I312" s="2">
        <f>_xlfn.XLOOKUP(employee_data[[#This Row],[Job_Title]],market_benchmarks[Job_Title],market_benchmarks[Market_Median],"Not Found")</f>
        <v>78000</v>
      </c>
      <c r="J312" s="3">
        <f>employee_data[[#This Row],[Current_Salary]]/employee_data[[#This Row],[Market_Median]]</f>
        <v>0.78717948717948716</v>
      </c>
      <c r="K312" s="2">
        <f>employee_data[[#This Row],[Current_Salary]]-employee_data[[#This Row],[Market_Median]]</f>
        <v>-16600</v>
      </c>
      <c r="L312" s="3">
        <f>(employee_data[[#This Row],[Current_Salary]]-employee_data[[#This Row],[Market_Median]])/employee_data[[#This Row],[Market_Median]]</f>
        <v>-0.21282051282051281</v>
      </c>
      <c r="M312" t="str" cm="1">
        <f t="array" ref="M31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13" spans="1:13" x14ac:dyDescent="0.3">
      <c r="A313" s="1" t="s">
        <v>347</v>
      </c>
      <c r="B313" s="1" t="s">
        <v>14</v>
      </c>
      <c r="C313" s="1" t="s">
        <v>65</v>
      </c>
      <c r="D313" s="1" t="s">
        <v>32</v>
      </c>
      <c r="E313" s="1" t="s">
        <v>12</v>
      </c>
      <c r="F313">
        <v>11</v>
      </c>
      <c r="G313" s="2">
        <v>60700</v>
      </c>
      <c r="H313">
        <v>3</v>
      </c>
      <c r="I313" s="2">
        <f>_xlfn.XLOOKUP(employee_data[[#This Row],[Job_Title]],market_benchmarks[Job_Title],market_benchmarks[Market_Median],"Not Found")</f>
        <v>68000</v>
      </c>
      <c r="J313" s="3">
        <f>employee_data[[#This Row],[Current_Salary]]/employee_data[[#This Row],[Market_Median]]</f>
        <v>0.89264705882352946</v>
      </c>
      <c r="K313" s="2">
        <f>employee_data[[#This Row],[Current_Salary]]-employee_data[[#This Row],[Market_Median]]</f>
        <v>-7300</v>
      </c>
      <c r="L313" s="3">
        <f>(employee_data[[#This Row],[Current_Salary]]-employee_data[[#This Row],[Market_Median]])/employee_data[[#This Row],[Market_Median]]</f>
        <v>-0.10735294117647058</v>
      </c>
      <c r="M313" t="str" cm="1">
        <f t="array" ref="M31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14" spans="1:13" x14ac:dyDescent="0.3">
      <c r="A314" s="1" t="s">
        <v>348</v>
      </c>
      <c r="B314" s="1" t="s">
        <v>38</v>
      </c>
      <c r="C314" s="1" t="s">
        <v>55</v>
      </c>
      <c r="D314" s="1" t="s">
        <v>11</v>
      </c>
      <c r="E314" s="1" t="s">
        <v>12</v>
      </c>
      <c r="F314">
        <v>14</v>
      </c>
      <c r="G314" s="2">
        <v>46900</v>
      </c>
      <c r="H314">
        <v>3</v>
      </c>
      <c r="I314" s="2">
        <f>_xlfn.XLOOKUP(employee_data[[#This Row],[Job_Title]],market_benchmarks[Job_Title],market_benchmarks[Market_Median],"Not Found")</f>
        <v>52000</v>
      </c>
      <c r="J314" s="3">
        <f>employee_data[[#This Row],[Current_Salary]]/employee_data[[#This Row],[Market_Median]]</f>
        <v>0.90192307692307694</v>
      </c>
      <c r="K314" s="2">
        <f>employee_data[[#This Row],[Current_Salary]]-employee_data[[#This Row],[Market_Median]]</f>
        <v>-5100</v>
      </c>
      <c r="L314" s="3">
        <f>(employee_data[[#This Row],[Current_Salary]]-employee_data[[#This Row],[Market_Median]])/employee_data[[#This Row],[Market_Median]]</f>
        <v>-9.8076923076923075E-2</v>
      </c>
      <c r="M314" t="str" cm="1">
        <f t="array" ref="M31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15" spans="1:13" x14ac:dyDescent="0.3">
      <c r="A315" s="1" t="s">
        <v>349</v>
      </c>
      <c r="B315" s="1" t="s">
        <v>22</v>
      </c>
      <c r="C315" s="1" t="s">
        <v>41</v>
      </c>
      <c r="D315" s="1" t="s">
        <v>16</v>
      </c>
      <c r="E315" s="1" t="s">
        <v>12</v>
      </c>
      <c r="F315">
        <v>9</v>
      </c>
      <c r="G315" s="2">
        <v>92600</v>
      </c>
      <c r="H315">
        <v>3</v>
      </c>
      <c r="I315" s="2">
        <f>_xlfn.XLOOKUP(employee_data[[#This Row],[Job_Title]],market_benchmarks[Job_Title],market_benchmarks[Market_Median],"Not Found")</f>
        <v>85000</v>
      </c>
      <c r="J315" s="3">
        <f>employee_data[[#This Row],[Current_Salary]]/employee_data[[#This Row],[Market_Median]]</f>
        <v>1.0894117647058823</v>
      </c>
      <c r="K315" s="2">
        <f>employee_data[[#This Row],[Current_Salary]]-employee_data[[#This Row],[Market_Median]]</f>
        <v>7600</v>
      </c>
      <c r="L315" s="3">
        <f>(employee_data[[#This Row],[Current_Salary]]-employee_data[[#This Row],[Market_Median]])/employee_data[[#This Row],[Market_Median]]</f>
        <v>8.9411764705882357E-2</v>
      </c>
      <c r="M315" t="str" cm="1">
        <f t="array" ref="M31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16" spans="1:13" x14ac:dyDescent="0.3">
      <c r="A316" s="1" t="s">
        <v>350</v>
      </c>
      <c r="B316" s="1" t="s">
        <v>22</v>
      </c>
      <c r="C316" s="1" t="s">
        <v>36</v>
      </c>
      <c r="D316" s="1" t="s">
        <v>32</v>
      </c>
      <c r="E316" s="1" t="s">
        <v>12</v>
      </c>
      <c r="F316">
        <v>4</v>
      </c>
      <c r="G316" s="2">
        <v>53400</v>
      </c>
      <c r="H316">
        <v>4</v>
      </c>
      <c r="I316" s="2">
        <f>_xlfn.XLOOKUP(employee_data[[#This Row],[Job_Title]],market_benchmarks[Job_Title],market_benchmarks[Market_Median],"Not Found")</f>
        <v>68000</v>
      </c>
      <c r="J316" s="3">
        <f>employee_data[[#This Row],[Current_Salary]]/employee_data[[#This Row],[Market_Median]]</f>
        <v>0.78529411764705881</v>
      </c>
      <c r="K316" s="2">
        <f>employee_data[[#This Row],[Current_Salary]]-employee_data[[#This Row],[Market_Median]]</f>
        <v>-14600</v>
      </c>
      <c r="L316" s="3">
        <f>(employee_data[[#This Row],[Current_Salary]]-employee_data[[#This Row],[Market_Median]])/employee_data[[#This Row],[Market_Median]]</f>
        <v>-0.21470588235294116</v>
      </c>
      <c r="M316" t="str" cm="1">
        <f t="array" ref="M31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17" spans="1:13" x14ac:dyDescent="0.3">
      <c r="A317" s="1" t="s">
        <v>351</v>
      </c>
      <c r="B317" s="1" t="s">
        <v>9</v>
      </c>
      <c r="C317" s="1" t="s">
        <v>10</v>
      </c>
      <c r="D317" s="1" t="s">
        <v>11</v>
      </c>
      <c r="E317" s="1" t="s">
        <v>12</v>
      </c>
      <c r="F317">
        <v>14</v>
      </c>
      <c r="G317" s="2">
        <v>54800</v>
      </c>
      <c r="H317">
        <v>3</v>
      </c>
      <c r="I317" s="2">
        <f>_xlfn.XLOOKUP(employee_data[[#This Row],[Job_Title]],market_benchmarks[Job_Title],market_benchmarks[Market_Median],"Not Found")</f>
        <v>58000</v>
      </c>
      <c r="J317" s="3">
        <f>employee_data[[#This Row],[Current_Salary]]/employee_data[[#This Row],[Market_Median]]</f>
        <v>0.94482758620689655</v>
      </c>
      <c r="K317" s="2">
        <f>employee_data[[#This Row],[Current_Salary]]-employee_data[[#This Row],[Market_Median]]</f>
        <v>-3200</v>
      </c>
      <c r="L317" s="3">
        <f>(employee_data[[#This Row],[Current_Salary]]-employee_data[[#This Row],[Market_Median]])/employee_data[[#This Row],[Market_Median]]</f>
        <v>-5.5172413793103448E-2</v>
      </c>
      <c r="M317" t="str" cm="1">
        <f t="array" ref="M31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18" spans="1:13" x14ac:dyDescent="0.3">
      <c r="A318" s="1" t="s">
        <v>352</v>
      </c>
      <c r="B318" s="1" t="s">
        <v>30</v>
      </c>
      <c r="C318" s="1" t="s">
        <v>31</v>
      </c>
      <c r="D318" s="1" t="s">
        <v>32</v>
      </c>
      <c r="E318" s="1" t="s">
        <v>12</v>
      </c>
      <c r="F318">
        <v>6</v>
      </c>
      <c r="G318" s="2">
        <v>57300</v>
      </c>
      <c r="H318">
        <v>3</v>
      </c>
      <c r="I318" s="2">
        <f>_xlfn.XLOOKUP(employee_data[[#This Row],[Job_Title]],market_benchmarks[Job_Title],market_benchmarks[Market_Median],"Not Found")</f>
        <v>58000</v>
      </c>
      <c r="J318" s="3">
        <f>employee_data[[#This Row],[Current_Salary]]/employee_data[[#This Row],[Market_Median]]</f>
        <v>0.98793103448275865</v>
      </c>
      <c r="K318" s="2">
        <f>employee_data[[#This Row],[Current_Salary]]-employee_data[[#This Row],[Market_Median]]</f>
        <v>-700</v>
      </c>
      <c r="L318" s="3">
        <f>(employee_data[[#This Row],[Current_Salary]]-employee_data[[#This Row],[Market_Median]])/employee_data[[#This Row],[Market_Median]]</f>
        <v>-1.2068965517241379E-2</v>
      </c>
      <c r="M318" t="str" cm="1">
        <f t="array" ref="M31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19" spans="1:13" x14ac:dyDescent="0.3">
      <c r="A319" s="1" t="s">
        <v>353</v>
      </c>
      <c r="B319" s="1" t="s">
        <v>38</v>
      </c>
      <c r="C319" s="1" t="s">
        <v>96</v>
      </c>
      <c r="D319" s="1" t="s">
        <v>16</v>
      </c>
      <c r="E319" s="1" t="s">
        <v>12</v>
      </c>
      <c r="F319">
        <v>4</v>
      </c>
      <c r="G319" s="2">
        <v>82800</v>
      </c>
      <c r="H319">
        <v>1</v>
      </c>
      <c r="I319" s="2">
        <f>_xlfn.XLOOKUP(employee_data[[#This Row],[Job_Title]],market_benchmarks[Job_Title],market_benchmarks[Market_Median],"Not Found")</f>
        <v>88000</v>
      </c>
      <c r="J319" s="3">
        <f>employee_data[[#This Row],[Current_Salary]]/employee_data[[#This Row],[Market_Median]]</f>
        <v>0.94090909090909092</v>
      </c>
      <c r="K319" s="2">
        <f>employee_data[[#This Row],[Current_Salary]]-employee_data[[#This Row],[Market_Median]]</f>
        <v>-5200</v>
      </c>
      <c r="L319" s="3">
        <f>(employee_data[[#This Row],[Current_Salary]]-employee_data[[#This Row],[Market_Median]])/employee_data[[#This Row],[Market_Median]]</f>
        <v>-5.909090909090909E-2</v>
      </c>
      <c r="M319" t="str" cm="1">
        <f t="array" ref="M31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20" spans="1:13" x14ac:dyDescent="0.3">
      <c r="A320" s="1" t="s">
        <v>354</v>
      </c>
      <c r="B320" s="1" t="s">
        <v>30</v>
      </c>
      <c r="C320" s="1" t="s">
        <v>53</v>
      </c>
      <c r="D320" s="1" t="s">
        <v>11</v>
      </c>
      <c r="E320" s="1" t="s">
        <v>12</v>
      </c>
      <c r="F320">
        <v>14</v>
      </c>
      <c r="G320" s="2">
        <v>44900</v>
      </c>
      <c r="H320">
        <v>3</v>
      </c>
      <c r="I320" s="2">
        <f>_xlfn.XLOOKUP(employee_data[[#This Row],[Job_Title]],market_benchmarks[Job_Title],market_benchmarks[Market_Median],"Not Found")</f>
        <v>48000</v>
      </c>
      <c r="J320" s="3">
        <f>employee_data[[#This Row],[Current_Salary]]/employee_data[[#This Row],[Market_Median]]</f>
        <v>0.93541666666666667</v>
      </c>
      <c r="K320" s="2">
        <f>employee_data[[#This Row],[Current_Salary]]-employee_data[[#This Row],[Market_Median]]</f>
        <v>-3100</v>
      </c>
      <c r="L320" s="3">
        <f>(employee_data[[#This Row],[Current_Salary]]-employee_data[[#This Row],[Market_Median]])/employee_data[[#This Row],[Market_Median]]</f>
        <v>-6.458333333333334E-2</v>
      </c>
      <c r="M320" t="str" cm="1">
        <f t="array" ref="M32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21" spans="1:13" x14ac:dyDescent="0.3">
      <c r="A321" s="1" t="s">
        <v>355</v>
      </c>
      <c r="B321" s="1" t="s">
        <v>38</v>
      </c>
      <c r="C321" s="1" t="s">
        <v>55</v>
      </c>
      <c r="D321" s="1" t="s">
        <v>11</v>
      </c>
      <c r="E321" s="1" t="s">
        <v>12</v>
      </c>
      <c r="F321">
        <v>9</v>
      </c>
      <c r="G321" s="2">
        <v>54600</v>
      </c>
      <c r="H321">
        <v>4</v>
      </c>
      <c r="I321" s="2">
        <f>_xlfn.XLOOKUP(employee_data[[#This Row],[Job_Title]],market_benchmarks[Job_Title],market_benchmarks[Market_Median],"Not Found")</f>
        <v>52000</v>
      </c>
      <c r="J321" s="3">
        <f>employee_data[[#This Row],[Current_Salary]]/employee_data[[#This Row],[Market_Median]]</f>
        <v>1.05</v>
      </c>
      <c r="K321" s="2">
        <f>employee_data[[#This Row],[Current_Salary]]-employee_data[[#This Row],[Market_Median]]</f>
        <v>2600</v>
      </c>
      <c r="L321" s="3">
        <f>(employee_data[[#This Row],[Current_Salary]]-employee_data[[#This Row],[Market_Median]])/employee_data[[#This Row],[Market_Median]]</f>
        <v>0.05</v>
      </c>
      <c r="M321" t="str" cm="1">
        <f t="array" ref="M32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22" spans="1:13" x14ac:dyDescent="0.3">
      <c r="A322" s="1" t="s">
        <v>356</v>
      </c>
      <c r="B322" s="1" t="s">
        <v>30</v>
      </c>
      <c r="C322" s="1" t="s">
        <v>53</v>
      </c>
      <c r="D322" s="1" t="s">
        <v>11</v>
      </c>
      <c r="E322" s="1" t="s">
        <v>12</v>
      </c>
      <c r="F322">
        <v>4</v>
      </c>
      <c r="G322" s="2">
        <v>52800</v>
      </c>
      <c r="H322">
        <v>3</v>
      </c>
      <c r="I322" s="2">
        <f>_xlfn.XLOOKUP(employee_data[[#This Row],[Job_Title]],market_benchmarks[Job_Title],market_benchmarks[Market_Median],"Not Found")</f>
        <v>48000</v>
      </c>
      <c r="J322" s="3">
        <f>employee_data[[#This Row],[Current_Salary]]/employee_data[[#This Row],[Market_Median]]</f>
        <v>1.1000000000000001</v>
      </c>
      <c r="K322" s="2">
        <f>employee_data[[#This Row],[Current_Salary]]-employee_data[[#This Row],[Market_Median]]</f>
        <v>4800</v>
      </c>
      <c r="L322" s="3">
        <f>(employee_data[[#This Row],[Current_Salary]]-employee_data[[#This Row],[Market_Median]])/employee_data[[#This Row],[Market_Median]]</f>
        <v>0.1</v>
      </c>
      <c r="M322" t="str" cm="1">
        <f t="array" ref="M32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23" spans="1:13" x14ac:dyDescent="0.3">
      <c r="A323" s="1" t="s">
        <v>357</v>
      </c>
      <c r="B323" s="1" t="s">
        <v>22</v>
      </c>
      <c r="C323" s="1" t="s">
        <v>23</v>
      </c>
      <c r="D323" s="1" t="s">
        <v>11</v>
      </c>
      <c r="E323" s="1" t="s">
        <v>12</v>
      </c>
      <c r="F323">
        <v>10</v>
      </c>
      <c r="G323" s="2">
        <v>51800</v>
      </c>
      <c r="H323">
        <v>4</v>
      </c>
      <c r="I323" s="2">
        <f>_xlfn.XLOOKUP(employee_data[[#This Row],[Job_Title]],market_benchmarks[Job_Title],market_benchmarks[Market_Median],"Not Found")</f>
        <v>50000</v>
      </c>
      <c r="J323" s="3">
        <f>employee_data[[#This Row],[Current_Salary]]/employee_data[[#This Row],[Market_Median]]</f>
        <v>1.036</v>
      </c>
      <c r="K323" s="2">
        <f>employee_data[[#This Row],[Current_Salary]]-employee_data[[#This Row],[Market_Median]]</f>
        <v>1800</v>
      </c>
      <c r="L323" s="3">
        <f>(employee_data[[#This Row],[Current_Salary]]-employee_data[[#This Row],[Market_Median]])/employee_data[[#This Row],[Market_Median]]</f>
        <v>3.5999999999999997E-2</v>
      </c>
      <c r="M323" t="str" cm="1">
        <f t="array" ref="M32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24" spans="1:13" x14ac:dyDescent="0.3">
      <c r="A324" s="1" t="s">
        <v>358</v>
      </c>
      <c r="B324" s="1" t="s">
        <v>18</v>
      </c>
      <c r="C324" s="1" t="s">
        <v>28</v>
      </c>
      <c r="D324" s="1" t="s">
        <v>11</v>
      </c>
      <c r="E324" s="1" t="s">
        <v>12</v>
      </c>
      <c r="F324">
        <v>16</v>
      </c>
      <c r="G324" s="2">
        <v>51300</v>
      </c>
      <c r="H324">
        <v>4</v>
      </c>
      <c r="I324" s="2">
        <f>_xlfn.XLOOKUP(employee_data[[#This Row],[Job_Title]],market_benchmarks[Job_Title],market_benchmarks[Market_Median],"Not Found")</f>
        <v>52000</v>
      </c>
      <c r="J324" s="3">
        <f>employee_data[[#This Row],[Current_Salary]]/employee_data[[#This Row],[Market_Median]]</f>
        <v>0.98653846153846159</v>
      </c>
      <c r="K324" s="2">
        <f>employee_data[[#This Row],[Current_Salary]]-employee_data[[#This Row],[Market_Median]]</f>
        <v>-700</v>
      </c>
      <c r="L324" s="3">
        <f>(employee_data[[#This Row],[Current_Salary]]-employee_data[[#This Row],[Market_Median]])/employee_data[[#This Row],[Market_Median]]</f>
        <v>-1.3461538461538462E-2</v>
      </c>
      <c r="M324" t="str" cm="1">
        <f t="array" ref="M32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25" spans="1:13" x14ac:dyDescent="0.3">
      <c r="A325" s="1" t="s">
        <v>359</v>
      </c>
      <c r="B325" s="1" t="s">
        <v>22</v>
      </c>
      <c r="C325" s="1" t="s">
        <v>41</v>
      </c>
      <c r="D325" s="1" t="s">
        <v>16</v>
      </c>
      <c r="E325" s="1" t="s">
        <v>12</v>
      </c>
      <c r="F325">
        <v>19</v>
      </c>
      <c r="G325" s="2">
        <v>91800</v>
      </c>
      <c r="H325">
        <v>3</v>
      </c>
      <c r="I325" s="2">
        <f>_xlfn.XLOOKUP(employee_data[[#This Row],[Job_Title]],market_benchmarks[Job_Title],market_benchmarks[Market_Median],"Not Found")</f>
        <v>85000</v>
      </c>
      <c r="J325" s="3">
        <f>employee_data[[#This Row],[Current_Salary]]/employee_data[[#This Row],[Market_Median]]</f>
        <v>1.08</v>
      </c>
      <c r="K325" s="2">
        <f>employee_data[[#This Row],[Current_Salary]]-employee_data[[#This Row],[Market_Median]]</f>
        <v>6800</v>
      </c>
      <c r="L325" s="3">
        <f>(employee_data[[#This Row],[Current_Salary]]-employee_data[[#This Row],[Market_Median]])/employee_data[[#This Row],[Market_Median]]</f>
        <v>0.08</v>
      </c>
      <c r="M325" t="str" cm="1">
        <f t="array" ref="M32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26" spans="1:13" x14ac:dyDescent="0.3">
      <c r="A326" s="1" t="s">
        <v>360</v>
      </c>
      <c r="B326" s="1" t="s">
        <v>38</v>
      </c>
      <c r="C326" s="1" t="s">
        <v>55</v>
      </c>
      <c r="D326" s="1" t="s">
        <v>11</v>
      </c>
      <c r="E326" s="1" t="s">
        <v>12</v>
      </c>
      <c r="F326">
        <v>4</v>
      </c>
      <c r="G326" s="2">
        <v>53200</v>
      </c>
      <c r="H326">
        <v>5</v>
      </c>
      <c r="I326" s="2">
        <f>_xlfn.XLOOKUP(employee_data[[#This Row],[Job_Title]],market_benchmarks[Job_Title],market_benchmarks[Market_Median],"Not Found")</f>
        <v>52000</v>
      </c>
      <c r="J326" s="3">
        <f>employee_data[[#This Row],[Current_Salary]]/employee_data[[#This Row],[Market_Median]]</f>
        <v>1.023076923076923</v>
      </c>
      <c r="K326" s="2">
        <f>employee_data[[#This Row],[Current_Salary]]-employee_data[[#This Row],[Market_Median]]</f>
        <v>1200</v>
      </c>
      <c r="L326" s="3">
        <f>(employee_data[[#This Row],[Current_Salary]]-employee_data[[#This Row],[Market_Median]])/employee_data[[#This Row],[Market_Median]]</f>
        <v>2.3076923076923078E-2</v>
      </c>
      <c r="M326" t="str" cm="1">
        <f t="array" ref="M32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27" spans="1:13" x14ac:dyDescent="0.3">
      <c r="A327" s="1" t="s">
        <v>361</v>
      </c>
      <c r="B327" s="1" t="s">
        <v>18</v>
      </c>
      <c r="C327" s="1" t="s">
        <v>28</v>
      </c>
      <c r="D327" s="1" t="s">
        <v>11</v>
      </c>
      <c r="E327" s="1" t="s">
        <v>12</v>
      </c>
      <c r="F327">
        <v>16</v>
      </c>
      <c r="G327" s="2">
        <v>49000</v>
      </c>
      <c r="H327">
        <v>3</v>
      </c>
      <c r="I327" s="2">
        <f>_xlfn.XLOOKUP(employee_data[[#This Row],[Job_Title]],market_benchmarks[Job_Title],market_benchmarks[Market_Median],"Not Found")</f>
        <v>52000</v>
      </c>
      <c r="J327" s="3">
        <f>employee_data[[#This Row],[Current_Salary]]/employee_data[[#This Row],[Market_Median]]</f>
        <v>0.94230769230769229</v>
      </c>
      <c r="K327" s="2">
        <f>employee_data[[#This Row],[Current_Salary]]-employee_data[[#This Row],[Market_Median]]</f>
        <v>-3000</v>
      </c>
      <c r="L327" s="3">
        <f>(employee_data[[#This Row],[Current_Salary]]-employee_data[[#This Row],[Market_Median]])/employee_data[[#This Row],[Market_Median]]</f>
        <v>-5.7692307692307696E-2</v>
      </c>
      <c r="M327" t="str" cm="1">
        <f t="array" ref="M32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28" spans="1:13" x14ac:dyDescent="0.3">
      <c r="A328" s="1" t="s">
        <v>362</v>
      </c>
      <c r="B328" s="1" t="s">
        <v>9</v>
      </c>
      <c r="C328" s="1" t="s">
        <v>60</v>
      </c>
      <c r="D328" s="1" t="s">
        <v>32</v>
      </c>
      <c r="E328" s="1" t="s">
        <v>12</v>
      </c>
      <c r="F328">
        <v>19</v>
      </c>
      <c r="G328" s="2">
        <v>75200</v>
      </c>
      <c r="H328">
        <v>5</v>
      </c>
      <c r="I328" s="2">
        <f>_xlfn.XLOOKUP(employee_data[[#This Row],[Job_Title]],market_benchmarks[Job_Title],market_benchmarks[Market_Median],"Not Found")</f>
        <v>78000</v>
      </c>
      <c r="J328" s="3">
        <f>employee_data[[#This Row],[Current_Salary]]/employee_data[[#This Row],[Market_Median]]</f>
        <v>0.96410256410256412</v>
      </c>
      <c r="K328" s="2">
        <f>employee_data[[#This Row],[Current_Salary]]-employee_data[[#This Row],[Market_Median]]</f>
        <v>-2800</v>
      </c>
      <c r="L328" s="3">
        <f>(employee_data[[#This Row],[Current_Salary]]-employee_data[[#This Row],[Market_Median]])/employee_data[[#This Row],[Market_Median]]</f>
        <v>-3.5897435897435895E-2</v>
      </c>
      <c r="M328" t="str" cm="1">
        <f t="array" ref="M32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29" spans="1:13" x14ac:dyDescent="0.3">
      <c r="A329" s="1" t="s">
        <v>363</v>
      </c>
      <c r="B329" s="1" t="s">
        <v>30</v>
      </c>
      <c r="C329" s="1" t="s">
        <v>76</v>
      </c>
      <c r="D329" s="1" t="s">
        <v>16</v>
      </c>
      <c r="E329" s="1" t="s">
        <v>12</v>
      </c>
      <c r="F329">
        <v>14</v>
      </c>
      <c r="G329" s="2">
        <v>71700</v>
      </c>
      <c r="H329">
        <v>3</v>
      </c>
      <c r="I329" s="2">
        <f>_xlfn.XLOOKUP(employee_data[[#This Row],[Job_Title]],market_benchmarks[Job_Title],market_benchmarks[Market_Median],"Not Found")</f>
        <v>72000</v>
      </c>
      <c r="J329" s="3">
        <f>employee_data[[#This Row],[Current_Salary]]/employee_data[[#This Row],[Market_Median]]</f>
        <v>0.99583333333333335</v>
      </c>
      <c r="K329" s="2">
        <f>employee_data[[#This Row],[Current_Salary]]-employee_data[[#This Row],[Market_Median]]</f>
        <v>-300</v>
      </c>
      <c r="L329" s="3">
        <f>(employee_data[[#This Row],[Current_Salary]]-employee_data[[#This Row],[Market_Median]])/employee_data[[#This Row],[Market_Median]]</f>
        <v>-4.1666666666666666E-3</v>
      </c>
      <c r="M329" t="str" cm="1">
        <f t="array" ref="M32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0" spans="1:13" x14ac:dyDescent="0.3">
      <c r="A330" s="1" t="s">
        <v>364</v>
      </c>
      <c r="B330" s="1" t="s">
        <v>9</v>
      </c>
      <c r="C330" s="1" t="s">
        <v>60</v>
      </c>
      <c r="D330" s="1" t="s">
        <v>32</v>
      </c>
      <c r="E330" s="1" t="s">
        <v>12</v>
      </c>
      <c r="F330">
        <v>19</v>
      </c>
      <c r="G330" s="2">
        <v>74600</v>
      </c>
      <c r="H330">
        <v>2</v>
      </c>
      <c r="I330" s="2">
        <f>_xlfn.XLOOKUP(employee_data[[#This Row],[Job_Title]],market_benchmarks[Job_Title],market_benchmarks[Market_Median],"Not Found")</f>
        <v>78000</v>
      </c>
      <c r="J330" s="3">
        <f>employee_data[[#This Row],[Current_Salary]]/employee_data[[#This Row],[Market_Median]]</f>
        <v>0.95641025641025645</v>
      </c>
      <c r="K330" s="2">
        <f>employee_data[[#This Row],[Current_Salary]]-employee_data[[#This Row],[Market_Median]]</f>
        <v>-3400</v>
      </c>
      <c r="L330" s="3">
        <f>(employee_data[[#This Row],[Current_Salary]]-employee_data[[#This Row],[Market_Median]])/employee_data[[#This Row],[Market_Median]]</f>
        <v>-4.3589743589743588E-2</v>
      </c>
      <c r="M330" t="str" cm="1">
        <f t="array" ref="M33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1" spans="1:13" x14ac:dyDescent="0.3">
      <c r="A331" s="1" t="s">
        <v>365</v>
      </c>
      <c r="B331" s="1" t="s">
        <v>38</v>
      </c>
      <c r="C331" s="1" t="s">
        <v>55</v>
      </c>
      <c r="D331" s="1" t="s">
        <v>11</v>
      </c>
      <c r="E331" s="1" t="s">
        <v>12</v>
      </c>
      <c r="F331">
        <v>0</v>
      </c>
      <c r="G331" s="2">
        <v>50000</v>
      </c>
      <c r="H331">
        <v>4</v>
      </c>
      <c r="I331" s="2">
        <f>_xlfn.XLOOKUP(employee_data[[#This Row],[Job_Title]],market_benchmarks[Job_Title],market_benchmarks[Market_Median],"Not Found")</f>
        <v>52000</v>
      </c>
      <c r="J331" s="3">
        <f>employee_data[[#This Row],[Current_Salary]]/employee_data[[#This Row],[Market_Median]]</f>
        <v>0.96153846153846156</v>
      </c>
      <c r="K331" s="2">
        <f>employee_data[[#This Row],[Current_Salary]]-employee_data[[#This Row],[Market_Median]]</f>
        <v>-2000</v>
      </c>
      <c r="L331" s="3">
        <f>(employee_data[[#This Row],[Current_Salary]]-employee_data[[#This Row],[Market_Median]])/employee_data[[#This Row],[Market_Median]]</f>
        <v>-3.8461538461538464E-2</v>
      </c>
      <c r="M331" t="str" cm="1">
        <f t="array" ref="M33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2" spans="1:13" x14ac:dyDescent="0.3">
      <c r="A332" s="1" t="s">
        <v>366</v>
      </c>
      <c r="B332" s="1" t="s">
        <v>18</v>
      </c>
      <c r="C332" s="1" t="s">
        <v>43</v>
      </c>
      <c r="D332" s="1" t="s">
        <v>32</v>
      </c>
      <c r="E332" s="1" t="s">
        <v>12</v>
      </c>
      <c r="F332">
        <v>4</v>
      </c>
      <c r="G332" s="2">
        <v>74200</v>
      </c>
      <c r="H332">
        <v>5</v>
      </c>
      <c r="I332" s="2">
        <f>_xlfn.XLOOKUP(employee_data[[#This Row],[Job_Title]],market_benchmarks[Job_Title],market_benchmarks[Market_Median],"Not Found")</f>
        <v>72000</v>
      </c>
      <c r="J332" s="3">
        <f>employee_data[[#This Row],[Current_Salary]]/employee_data[[#This Row],[Market_Median]]</f>
        <v>1.0305555555555554</v>
      </c>
      <c r="K332" s="2">
        <f>employee_data[[#This Row],[Current_Salary]]-employee_data[[#This Row],[Market_Median]]</f>
        <v>2200</v>
      </c>
      <c r="L332" s="3">
        <f>(employee_data[[#This Row],[Current_Salary]]-employee_data[[#This Row],[Market_Median]])/employee_data[[#This Row],[Market_Median]]</f>
        <v>3.0555555555555555E-2</v>
      </c>
      <c r="M332" t="str" cm="1">
        <f t="array" ref="M33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3" spans="1:13" x14ac:dyDescent="0.3">
      <c r="A333" s="1" t="s">
        <v>367</v>
      </c>
      <c r="B333" s="1" t="s">
        <v>38</v>
      </c>
      <c r="C333" s="1" t="s">
        <v>96</v>
      </c>
      <c r="D333" s="1" t="s">
        <v>16</v>
      </c>
      <c r="E333" s="1" t="s">
        <v>12</v>
      </c>
      <c r="F333">
        <v>9</v>
      </c>
      <c r="G333" s="2">
        <v>72900</v>
      </c>
      <c r="H333">
        <v>1</v>
      </c>
      <c r="I333" s="2">
        <f>_xlfn.XLOOKUP(employee_data[[#This Row],[Job_Title]],market_benchmarks[Job_Title],market_benchmarks[Market_Median],"Not Found")</f>
        <v>88000</v>
      </c>
      <c r="J333" s="3">
        <f>employee_data[[#This Row],[Current_Salary]]/employee_data[[#This Row],[Market_Median]]</f>
        <v>0.82840909090909087</v>
      </c>
      <c r="K333" s="2">
        <f>employee_data[[#This Row],[Current_Salary]]-employee_data[[#This Row],[Market_Median]]</f>
        <v>-15100</v>
      </c>
      <c r="L333" s="3">
        <f>(employee_data[[#This Row],[Current_Salary]]-employee_data[[#This Row],[Market_Median]])/employee_data[[#This Row],[Market_Median]]</f>
        <v>-0.1715909090909091</v>
      </c>
      <c r="M333" t="str" cm="1">
        <f t="array" ref="M33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34" spans="1:13" x14ac:dyDescent="0.3">
      <c r="A334" s="1" t="s">
        <v>368</v>
      </c>
      <c r="B334" s="1" t="s">
        <v>38</v>
      </c>
      <c r="C334" s="1" t="s">
        <v>55</v>
      </c>
      <c r="D334" s="1" t="s">
        <v>11</v>
      </c>
      <c r="E334" s="1" t="s">
        <v>12</v>
      </c>
      <c r="F334">
        <v>7</v>
      </c>
      <c r="G334" s="2">
        <v>47300</v>
      </c>
      <c r="H334">
        <v>4</v>
      </c>
      <c r="I334" s="2">
        <f>_xlfn.XLOOKUP(employee_data[[#This Row],[Job_Title]],market_benchmarks[Job_Title],market_benchmarks[Market_Median],"Not Found")</f>
        <v>52000</v>
      </c>
      <c r="J334" s="3">
        <f>employee_data[[#This Row],[Current_Salary]]/employee_data[[#This Row],[Market_Median]]</f>
        <v>0.9096153846153846</v>
      </c>
      <c r="K334" s="2">
        <f>employee_data[[#This Row],[Current_Salary]]-employee_data[[#This Row],[Market_Median]]</f>
        <v>-4700</v>
      </c>
      <c r="L334" s="3">
        <f>(employee_data[[#This Row],[Current_Salary]]-employee_data[[#This Row],[Market_Median]])/employee_data[[#This Row],[Market_Median]]</f>
        <v>-9.0384615384615383E-2</v>
      </c>
      <c r="M334" t="str" cm="1">
        <f t="array" ref="M334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35" spans="1:13" x14ac:dyDescent="0.3">
      <c r="A335" s="1" t="s">
        <v>369</v>
      </c>
      <c r="B335" s="1" t="s">
        <v>30</v>
      </c>
      <c r="C335" s="1" t="s">
        <v>31</v>
      </c>
      <c r="D335" s="1" t="s">
        <v>32</v>
      </c>
      <c r="E335" s="1" t="s">
        <v>12</v>
      </c>
      <c r="F335">
        <v>3</v>
      </c>
      <c r="G335" s="2">
        <v>56700</v>
      </c>
      <c r="H335">
        <v>4</v>
      </c>
      <c r="I335" s="2">
        <f>_xlfn.XLOOKUP(employee_data[[#This Row],[Job_Title]],market_benchmarks[Job_Title],market_benchmarks[Market_Median],"Not Found")</f>
        <v>58000</v>
      </c>
      <c r="J335" s="3">
        <f>employee_data[[#This Row],[Current_Salary]]/employee_data[[#This Row],[Market_Median]]</f>
        <v>0.97758620689655173</v>
      </c>
      <c r="K335" s="2">
        <f>employee_data[[#This Row],[Current_Salary]]-employee_data[[#This Row],[Market_Median]]</f>
        <v>-1300</v>
      </c>
      <c r="L335" s="3">
        <f>(employee_data[[#This Row],[Current_Salary]]-employee_data[[#This Row],[Market_Median]])/employee_data[[#This Row],[Market_Median]]</f>
        <v>-2.2413793103448276E-2</v>
      </c>
      <c r="M335" t="str" cm="1">
        <f t="array" ref="M33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6" spans="1:13" x14ac:dyDescent="0.3">
      <c r="A336" s="1" t="s">
        <v>370</v>
      </c>
      <c r="B336" s="1" t="s">
        <v>14</v>
      </c>
      <c r="C336" s="1" t="s">
        <v>15</v>
      </c>
      <c r="D336" s="1" t="s">
        <v>16</v>
      </c>
      <c r="E336" s="1" t="s">
        <v>12</v>
      </c>
      <c r="F336">
        <v>15</v>
      </c>
      <c r="G336" s="2">
        <v>84800</v>
      </c>
      <c r="H336">
        <v>4</v>
      </c>
      <c r="I336" s="2">
        <f>_xlfn.XLOOKUP(employee_data[[#This Row],[Job_Title]],market_benchmarks[Job_Title],market_benchmarks[Market_Median],"Not Found")</f>
        <v>82000</v>
      </c>
      <c r="J336" s="3">
        <f>employee_data[[#This Row],[Current_Salary]]/employee_data[[#This Row],[Market_Median]]</f>
        <v>1.0341463414634147</v>
      </c>
      <c r="K336" s="2">
        <f>employee_data[[#This Row],[Current_Salary]]-employee_data[[#This Row],[Market_Median]]</f>
        <v>2800</v>
      </c>
      <c r="L336" s="3">
        <f>(employee_data[[#This Row],[Current_Salary]]-employee_data[[#This Row],[Market_Median]])/employee_data[[#This Row],[Market_Median]]</f>
        <v>3.4146341463414637E-2</v>
      </c>
      <c r="M336" t="str" cm="1">
        <f t="array" ref="M33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37" spans="1:13" x14ac:dyDescent="0.3">
      <c r="A337" s="1" t="s">
        <v>371</v>
      </c>
      <c r="B337" s="1" t="s">
        <v>22</v>
      </c>
      <c r="C337" s="1" t="s">
        <v>36</v>
      </c>
      <c r="D337" s="1" t="s">
        <v>32</v>
      </c>
      <c r="E337" s="1" t="s">
        <v>12</v>
      </c>
      <c r="F337">
        <v>17</v>
      </c>
      <c r="G337" s="2">
        <v>76900</v>
      </c>
      <c r="H337">
        <v>3</v>
      </c>
      <c r="I337" s="2">
        <f>_xlfn.XLOOKUP(employee_data[[#This Row],[Job_Title]],market_benchmarks[Job_Title],market_benchmarks[Market_Median],"Not Found")</f>
        <v>68000</v>
      </c>
      <c r="J337" s="3">
        <f>employee_data[[#This Row],[Current_Salary]]/employee_data[[#This Row],[Market_Median]]</f>
        <v>1.1308823529411764</v>
      </c>
      <c r="K337" s="2">
        <f>employee_data[[#This Row],[Current_Salary]]-employee_data[[#This Row],[Market_Median]]</f>
        <v>8900</v>
      </c>
      <c r="L337" s="3">
        <f>(employee_data[[#This Row],[Current_Salary]]-employee_data[[#This Row],[Market_Median]])/employee_data[[#This Row],[Market_Median]]</f>
        <v>0.13088235294117648</v>
      </c>
      <c r="M337" t="str" cm="1">
        <f t="array" ref="M33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38" spans="1:13" x14ac:dyDescent="0.3">
      <c r="A338" s="1" t="s">
        <v>372</v>
      </c>
      <c r="B338" s="1" t="s">
        <v>30</v>
      </c>
      <c r="C338" s="1" t="s">
        <v>53</v>
      </c>
      <c r="D338" s="1" t="s">
        <v>11</v>
      </c>
      <c r="E338" s="1" t="s">
        <v>12</v>
      </c>
      <c r="F338">
        <v>8</v>
      </c>
      <c r="G338" s="2">
        <v>44000</v>
      </c>
      <c r="H338">
        <v>5</v>
      </c>
      <c r="I338" s="2">
        <f>_xlfn.XLOOKUP(employee_data[[#This Row],[Job_Title]],market_benchmarks[Job_Title],market_benchmarks[Market_Median],"Not Found")</f>
        <v>48000</v>
      </c>
      <c r="J338" s="3">
        <f>employee_data[[#This Row],[Current_Salary]]/employee_data[[#This Row],[Market_Median]]</f>
        <v>0.91666666666666663</v>
      </c>
      <c r="K338" s="2">
        <f>employee_data[[#This Row],[Current_Salary]]-employee_data[[#This Row],[Market_Median]]</f>
        <v>-4000</v>
      </c>
      <c r="L338" s="3">
        <f>(employee_data[[#This Row],[Current_Salary]]-employee_data[[#This Row],[Market_Median]])/employee_data[[#This Row],[Market_Median]]</f>
        <v>-8.3333333333333329E-2</v>
      </c>
      <c r="M338" t="str" cm="1">
        <f t="array" ref="M33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39" spans="1:13" x14ac:dyDescent="0.3">
      <c r="A339" s="1" t="s">
        <v>373</v>
      </c>
      <c r="B339" s="1" t="s">
        <v>30</v>
      </c>
      <c r="C339" s="1" t="s">
        <v>76</v>
      </c>
      <c r="D339" s="1" t="s">
        <v>16</v>
      </c>
      <c r="E339" s="1" t="s">
        <v>12</v>
      </c>
      <c r="F339">
        <v>3</v>
      </c>
      <c r="G339" s="2">
        <v>69900</v>
      </c>
      <c r="H339">
        <v>4</v>
      </c>
      <c r="I339" s="2">
        <f>_xlfn.XLOOKUP(employee_data[[#This Row],[Job_Title]],market_benchmarks[Job_Title],market_benchmarks[Market_Median],"Not Found")</f>
        <v>72000</v>
      </c>
      <c r="J339" s="3">
        <f>employee_data[[#This Row],[Current_Salary]]/employee_data[[#This Row],[Market_Median]]</f>
        <v>0.97083333333333333</v>
      </c>
      <c r="K339" s="2">
        <f>employee_data[[#This Row],[Current_Salary]]-employee_data[[#This Row],[Market_Median]]</f>
        <v>-2100</v>
      </c>
      <c r="L339" s="3">
        <f>(employee_data[[#This Row],[Current_Salary]]-employee_data[[#This Row],[Market_Median]])/employee_data[[#This Row],[Market_Median]]</f>
        <v>-2.9166666666666667E-2</v>
      </c>
      <c r="M339" t="str" cm="1">
        <f t="array" ref="M33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40" spans="1:13" x14ac:dyDescent="0.3">
      <c r="A340" s="1" t="s">
        <v>374</v>
      </c>
      <c r="B340" s="1" t="s">
        <v>22</v>
      </c>
      <c r="C340" s="1" t="s">
        <v>36</v>
      </c>
      <c r="D340" s="1" t="s">
        <v>32</v>
      </c>
      <c r="E340" s="1" t="s">
        <v>12</v>
      </c>
      <c r="F340">
        <v>3</v>
      </c>
      <c r="G340" s="2">
        <v>68700</v>
      </c>
      <c r="H340">
        <v>4</v>
      </c>
      <c r="I340" s="2">
        <f>_xlfn.XLOOKUP(employee_data[[#This Row],[Job_Title]],market_benchmarks[Job_Title],market_benchmarks[Market_Median],"Not Found")</f>
        <v>68000</v>
      </c>
      <c r="J340" s="3">
        <f>employee_data[[#This Row],[Current_Salary]]/employee_data[[#This Row],[Market_Median]]</f>
        <v>1.0102941176470588</v>
      </c>
      <c r="K340" s="2">
        <f>employee_data[[#This Row],[Current_Salary]]-employee_data[[#This Row],[Market_Median]]</f>
        <v>700</v>
      </c>
      <c r="L340" s="3">
        <f>(employee_data[[#This Row],[Current_Salary]]-employee_data[[#This Row],[Market_Median]])/employee_data[[#This Row],[Market_Median]]</f>
        <v>1.0294117647058823E-2</v>
      </c>
      <c r="M340" t="str" cm="1">
        <f t="array" ref="M34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41" spans="1:13" x14ac:dyDescent="0.3">
      <c r="A341" s="1" t="s">
        <v>375</v>
      </c>
      <c r="B341" s="1" t="s">
        <v>30</v>
      </c>
      <c r="C341" s="1" t="s">
        <v>76</v>
      </c>
      <c r="D341" s="1" t="s">
        <v>16</v>
      </c>
      <c r="E341" s="1" t="s">
        <v>12</v>
      </c>
      <c r="F341">
        <v>18</v>
      </c>
      <c r="G341" s="2">
        <v>73400</v>
      </c>
      <c r="H341">
        <v>4</v>
      </c>
      <c r="I341" s="2">
        <f>_xlfn.XLOOKUP(employee_data[[#This Row],[Job_Title]],market_benchmarks[Job_Title],market_benchmarks[Market_Median],"Not Found")</f>
        <v>72000</v>
      </c>
      <c r="J341" s="3">
        <f>employee_data[[#This Row],[Current_Salary]]/employee_data[[#This Row],[Market_Median]]</f>
        <v>1.0194444444444444</v>
      </c>
      <c r="K341" s="2">
        <f>employee_data[[#This Row],[Current_Salary]]-employee_data[[#This Row],[Market_Median]]</f>
        <v>1400</v>
      </c>
      <c r="L341" s="3">
        <f>(employee_data[[#This Row],[Current_Salary]]-employee_data[[#This Row],[Market_Median]])/employee_data[[#This Row],[Market_Median]]</f>
        <v>1.9444444444444445E-2</v>
      </c>
      <c r="M341" t="str" cm="1">
        <f t="array" ref="M34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42" spans="1:13" x14ac:dyDescent="0.3">
      <c r="A342" s="1" t="s">
        <v>376</v>
      </c>
      <c r="B342" s="1" t="s">
        <v>30</v>
      </c>
      <c r="C342" s="1" t="s">
        <v>31</v>
      </c>
      <c r="D342" s="1" t="s">
        <v>32</v>
      </c>
      <c r="E342" s="1" t="s">
        <v>12</v>
      </c>
      <c r="F342">
        <v>6</v>
      </c>
      <c r="G342" s="2">
        <v>48700</v>
      </c>
      <c r="H342">
        <v>1</v>
      </c>
      <c r="I342" s="2">
        <f>_xlfn.XLOOKUP(employee_data[[#This Row],[Job_Title]],market_benchmarks[Job_Title],market_benchmarks[Market_Median],"Not Found")</f>
        <v>58000</v>
      </c>
      <c r="J342" s="3">
        <f>employee_data[[#This Row],[Current_Salary]]/employee_data[[#This Row],[Market_Median]]</f>
        <v>0.83965517241379306</v>
      </c>
      <c r="K342" s="2">
        <f>employee_data[[#This Row],[Current_Salary]]-employee_data[[#This Row],[Market_Median]]</f>
        <v>-9300</v>
      </c>
      <c r="L342" s="3">
        <f>(employee_data[[#This Row],[Current_Salary]]-employee_data[[#This Row],[Market_Median]])/employee_data[[#This Row],[Market_Median]]</f>
        <v>-0.16034482758620688</v>
      </c>
      <c r="M342" t="str" cm="1">
        <f t="array" ref="M34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43" spans="1:13" x14ac:dyDescent="0.3">
      <c r="A343" s="1" t="s">
        <v>377</v>
      </c>
      <c r="B343" s="1" t="s">
        <v>18</v>
      </c>
      <c r="C343" s="1" t="s">
        <v>19</v>
      </c>
      <c r="D343" s="1" t="s">
        <v>16</v>
      </c>
      <c r="E343" s="1" t="s">
        <v>12</v>
      </c>
      <c r="F343">
        <v>0</v>
      </c>
      <c r="G343" s="2">
        <v>72500</v>
      </c>
      <c r="H343">
        <v>3</v>
      </c>
      <c r="I343" s="2">
        <f>_xlfn.XLOOKUP(employee_data[[#This Row],[Job_Title]],market_benchmarks[Job_Title],market_benchmarks[Market_Median],"Not Found")</f>
        <v>90000</v>
      </c>
      <c r="J343" s="3">
        <f>employee_data[[#This Row],[Current_Salary]]/employee_data[[#This Row],[Market_Median]]</f>
        <v>0.80555555555555558</v>
      </c>
      <c r="K343" s="2">
        <f>employee_data[[#This Row],[Current_Salary]]-employee_data[[#This Row],[Market_Median]]</f>
        <v>-17500</v>
      </c>
      <c r="L343" s="3">
        <f>(employee_data[[#This Row],[Current_Salary]]-employee_data[[#This Row],[Market_Median]])/employee_data[[#This Row],[Market_Median]]</f>
        <v>-0.19444444444444445</v>
      </c>
      <c r="M343" t="str" cm="1">
        <f t="array" ref="M34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44" spans="1:13" x14ac:dyDescent="0.3">
      <c r="A344" s="1" t="s">
        <v>378</v>
      </c>
      <c r="B344" s="1" t="s">
        <v>30</v>
      </c>
      <c r="C344" s="1" t="s">
        <v>76</v>
      </c>
      <c r="D344" s="1" t="s">
        <v>16</v>
      </c>
      <c r="E344" s="1" t="s">
        <v>12</v>
      </c>
      <c r="F344">
        <v>11</v>
      </c>
      <c r="G344" s="2">
        <v>59800</v>
      </c>
      <c r="H344">
        <v>1</v>
      </c>
      <c r="I344" s="2">
        <f>_xlfn.XLOOKUP(employee_data[[#This Row],[Job_Title]],market_benchmarks[Job_Title],market_benchmarks[Market_Median],"Not Found")</f>
        <v>72000</v>
      </c>
      <c r="J344" s="3">
        <f>employee_data[[#This Row],[Current_Salary]]/employee_data[[#This Row],[Market_Median]]</f>
        <v>0.8305555555555556</v>
      </c>
      <c r="K344" s="2">
        <f>employee_data[[#This Row],[Current_Salary]]-employee_data[[#This Row],[Market_Median]]</f>
        <v>-12200</v>
      </c>
      <c r="L344" s="3">
        <f>(employee_data[[#This Row],[Current_Salary]]-employee_data[[#This Row],[Market_Median]])/employee_data[[#This Row],[Market_Median]]</f>
        <v>-0.16944444444444445</v>
      </c>
      <c r="M344" t="str" cm="1">
        <f t="array" ref="M34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45" spans="1:13" x14ac:dyDescent="0.3">
      <c r="A345" s="1" t="s">
        <v>379</v>
      </c>
      <c r="B345" s="1" t="s">
        <v>22</v>
      </c>
      <c r="C345" s="1" t="s">
        <v>36</v>
      </c>
      <c r="D345" s="1" t="s">
        <v>32</v>
      </c>
      <c r="E345" s="1" t="s">
        <v>12</v>
      </c>
      <c r="F345">
        <v>1</v>
      </c>
      <c r="G345" s="2">
        <v>66700</v>
      </c>
      <c r="H345">
        <v>3</v>
      </c>
      <c r="I345" s="2">
        <f>_xlfn.XLOOKUP(employee_data[[#This Row],[Job_Title]],market_benchmarks[Job_Title],market_benchmarks[Market_Median],"Not Found")</f>
        <v>68000</v>
      </c>
      <c r="J345" s="3">
        <f>employee_data[[#This Row],[Current_Salary]]/employee_data[[#This Row],[Market_Median]]</f>
        <v>0.98088235294117643</v>
      </c>
      <c r="K345" s="2">
        <f>employee_data[[#This Row],[Current_Salary]]-employee_data[[#This Row],[Market_Median]]</f>
        <v>-1300</v>
      </c>
      <c r="L345" s="3">
        <f>(employee_data[[#This Row],[Current_Salary]]-employee_data[[#This Row],[Market_Median]])/employee_data[[#This Row],[Market_Median]]</f>
        <v>-1.9117647058823531E-2</v>
      </c>
      <c r="M345" t="str" cm="1">
        <f t="array" ref="M34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46" spans="1:13" x14ac:dyDescent="0.3">
      <c r="A346" s="1" t="s">
        <v>380</v>
      </c>
      <c r="B346" s="1" t="s">
        <v>14</v>
      </c>
      <c r="C346" s="1" t="s">
        <v>48</v>
      </c>
      <c r="D346" s="1" t="s">
        <v>11</v>
      </c>
      <c r="E346" s="1" t="s">
        <v>12</v>
      </c>
      <c r="F346">
        <v>7</v>
      </c>
      <c r="G346" s="2">
        <v>45200</v>
      </c>
      <c r="H346">
        <v>3</v>
      </c>
      <c r="I346" s="2">
        <f>_xlfn.XLOOKUP(employee_data[[#This Row],[Job_Title]],market_benchmarks[Job_Title],market_benchmarks[Market_Median],"Not Found")</f>
        <v>50000</v>
      </c>
      <c r="J346" s="3">
        <f>employee_data[[#This Row],[Current_Salary]]/employee_data[[#This Row],[Market_Median]]</f>
        <v>0.90400000000000003</v>
      </c>
      <c r="K346" s="2">
        <f>employee_data[[#This Row],[Current_Salary]]-employee_data[[#This Row],[Market_Median]]</f>
        <v>-4800</v>
      </c>
      <c r="L346" s="3">
        <f>(employee_data[[#This Row],[Current_Salary]]-employee_data[[#This Row],[Market_Median]])/employee_data[[#This Row],[Market_Median]]</f>
        <v>-9.6000000000000002E-2</v>
      </c>
      <c r="M346" t="str" cm="1">
        <f t="array" ref="M34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47" spans="1:13" x14ac:dyDescent="0.3">
      <c r="A347" s="1" t="s">
        <v>381</v>
      </c>
      <c r="B347" s="1" t="s">
        <v>38</v>
      </c>
      <c r="C347" s="1" t="s">
        <v>55</v>
      </c>
      <c r="D347" s="1" t="s">
        <v>11</v>
      </c>
      <c r="E347" s="1" t="s">
        <v>12</v>
      </c>
      <c r="F347">
        <v>11</v>
      </c>
      <c r="G347" s="2">
        <v>49300</v>
      </c>
      <c r="H347">
        <v>2</v>
      </c>
      <c r="I347" s="2">
        <f>_xlfn.XLOOKUP(employee_data[[#This Row],[Job_Title]],market_benchmarks[Job_Title],market_benchmarks[Market_Median],"Not Found")</f>
        <v>52000</v>
      </c>
      <c r="J347" s="3">
        <f>employee_data[[#This Row],[Current_Salary]]/employee_data[[#This Row],[Market_Median]]</f>
        <v>0.94807692307692304</v>
      </c>
      <c r="K347" s="2">
        <f>employee_data[[#This Row],[Current_Salary]]-employee_data[[#This Row],[Market_Median]]</f>
        <v>-2700</v>
      </c>
      <c r="L347" s="3">
        <f>(employee_data[[#This Row],[Current_Salary]]-employee_data[[#This Row],[Market_Median]])/employee_data[[#This Row],[Market_Median]]</f>
        <v>-5.1923076923076926E-2</v>
      </c>
      <c r="M347" t="str" cm="1">
        <f t="array" ref="M34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48" spans="1:13" x14ac:dyDescent="0.3">
      <c r="A348" s="1" t="s">
        <v>382</v>
      </c>
      <c r="B348" s="1" t="s">
        <v>18</v>
      </c>
      <c r="C348" s="1" t="s">
        <v>19</v>
      </c>
      <c r="D348" s="1" t="s">
        <v>16</v>
      </c>
      <c r="E348" s="1" t="s">
        <v>12</v>
      </c>
      <c r="F348">
        <v>11</v>
      </c>
      <c r="G348" s="2">
        <v>94700</v>
      </c>
      <c r="H348">
        <v>3</v>
      </c>
      <c r="I348" s="2">
        <f>_xlfn.XLOOKUP(employee_data[[#This Row],[Job_Title]],market_benchmarks[Job_Title],market_benchmarks[Market_Median],"Not Found")</f>
        <v>90000</v>
      </c>
      <c r="J348" s="3">
        <f>employee_data[[#This Row],[Current_Salary]]/employee_data[[#This Row],[Market_Median]]</f>
        <v>1.0522222222222222</v>
      </c>
      <c r="K348" s="2">
        <f>employee_data[[#This Row],[Current_Salary]]-employee_data[[#This Row],[Market_Median]]</f>
        <v>4700</v>
      </c>
      <c r="L348" s="3">
        <f>(employee_data[[#This Row],[Current_Salary]]-employee_data[[#This Row],[Market_Median]])/employee_data[[#This Row],[Market_Median]]</f>
        <v>5.2222222222222225E-2</v>
      </c>
      <c r="M348" t="str" cm="1">
        <f t="array" ref="M34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49" spans="1:13" x14ac:dyDescent="0.3">
      <c r="A349" s="1" t="s">
        <v>383</v>
      </c>
      <c r="B349" s="1" t="s">
        <v>22</v>
      </c>
      <c r="C349" s="1" t="s">
        <v>36</v>
      </c>
      <c r="D349" s="1" t="s">
        <v>32</v>
      </c>
      <c r="E349" s="1" t="s">
        <v>12</v>
      </c>
      <c r="F349">
        <v>11</v>
      </c>
      <c r="G349" s="2">
        <v>49700</v>
      </c>
      <c r="H349">
        <v>5</v>
      </c>
      <c r="I349" s="2">
        <f>_xlfn.XLOOKUP(employee_data[[#This Row],[Job_Title]],market_benchmarks[Job_Title],market_benchmarks[Market_Median],"Not Found")</f>
        <v>68000</v>
      </c>
      <c r="J349" s="3">
        <f>employee_data[[#This Row],[Current_Salary]]/employee_data[[#This Row],[Market_Median]]</f>
        <v>0.73088235294117643</v>
      </c>
      <c r="K349" s="2">
        <f>employee_data[[#This Row],[Current_Salary]]-employee_data[[#This Row],[Market_Median]]</f>
        <v>-18300</v>
      </c>
      <c r="L349" s="3">
        <f>(employee_data[[#This Row],[Current_Salary]]-employee_data[[#This Row],[Market_Median]])/employee_data[[#This Row],[Market_Median]]</f>
        <v>-0.26911764705882352</v>
      </c>
      <c r="M349" t="str" cm="1">
        <f t="array" ref="M349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50" spans="1:13" x14ac:dyDescent="0.3">
      <c r="A350" s="1" t="s">
        <v>384</v>
      </c>
      <c r="B350" s="1" t="s">
        <v>18</v>
      </c>
      <c r="C350" s="1" t="s">
        <v>28</v>
      </c>
      <c r="D350" s="1" t="s">
        <v>11</v>
      </c>
      <c r="E350" s="1" t="s">
        <v>12</v>
      </c>
      <c r="F350">
        <v>10</v>
      </c>
      <c r="G350" s="2">
        <v>53300</v>
      </c>
      <c r="H350">
        <v>1</v>
      </c>
      <c r="I350" s="2">
        <f>_xlfn.XLOOKUP(employee_data[[#This Row],[Job_Title]],market_benchmarks[Job_Title],market_benchmarks[Market_Median],"Not Found")</f>
        <v>52000</v>
      </c>
      <c r="J350" s="3">
        <f>employee_data[[#This Row],[Current_Salary]]/employee_data[[#This Row],[Market_Median]]</f>
        <v>1.0249999999999999</v>
      </c>
      <c r="K350" s="2">
        <f>employee_data[[#This Row],[Current_Salary]]-employee_data[[#This Row],[Market_Median]]</f>
        <v>1300</v>
      </c>
      <c r="L350" s="3">
        <f>(employee_data[[#This Row],[Current_Salary]]-employee_data[[#This Row],[Market_Median]])/employee_data[[#This Row],[Market_Median]]</f>
        <v>2.5000000000000001E-2</v>
      </c>
      <c r="M350" t="str" cm="1">
        <f t="array" ref="M35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51" spans="1:13" x14ac:dyDescent="0.3">
      <c r="A351" s="1" t="s">
        <v>385</v>
      </c>
      <c r="B351" s="1" t="s">
        <v>30</v>
      </c>
      <c r="C351" s="1" t="s">
        <v>76</v>
      </c>
      <c r="D351" s="1" t="s">
        <v>16</v>
      </c>
      <c r="E351" s="1" t="s">
        <v>12</v>
      </c>
      <c r="F351">
        <v>18</v>
      </c>
      <c r="G351" s="2">
        <v>70400</v>
      </c>
      <c r="H351">
        <v>2</v>
      </c>
      <c r="I351" s="2">
        <f>_xlfn.XLOOKUP(employee_data[[#This Row],[Job_Title]],market_benchmarks[Job_Title],market_benchmarks[Market_Median],"Not Found")</f>
        <v>72000</v>
      </c>
      <c r="J351" s="3">
        <f>employee_data[[#This Row],[Current_Salary]]/employee_data[[#This Row],[Market_Median]]</f>
        <v>0.97777777777777775</v>
      </c>
      <c r="K351" s="2">
        <f>employee_data[[#This Row],[Current_Salary]]-employee_data[[#This Row],[Market_Median]]</f>
        <v>-1600</v>
      </c>
      <c r="L351" s="3">
        <f>(employee_data[[#This Row],[Current_Salary]]-employee_data[[#This Row],[Market_Median]])/employee_data[[#This Row],[Market_Median]]</f>
        <v>-2.2222222222222223E-2</v>
      </c>
      <c r="M351" t="str" cm="1">
        <f t="array" ref="M35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52" spans="1:13" x14ac:dyDescent="0.3">
      <c r="A352" s="1" t="s">
        <v>386</v>
      </c>
      <c r="B352" s="1" t="s">
        <v>18</v>
      </c>
      <c r="C352" s="1" t="s">
        <v>28</v>
      </c>
      <c r="D352" s="1" t="s">
        <v>11</v>
      </c>
      <c r="E352" s="1" t="s">
        <v>12</v>
      </c>
      <c r="F352">
        <v>18</v>
      </c>
      <c r="G352" s="2">
        <v>40600</v>
      </c>
      <c r="H352">
        <v>2</v>
      </c>
      <c r="I352" s="2">
        <f>_xlfn.XLOOKUP(employee_data[[#This Row],[Job_Title]],market_benchmarks[Job_Title],market_benchmarks[Market_Median],"Not Found")</f>
        <v>52000</v>
      </c>
      <c r="J352" s="3">
        <f>employee_data[[#This Row],[Current_Salary]]/employee_data[[#This Row],[Market_Median]]</f>
        <v>0.78076923076923077</v>
      </c>
      <c r="K352" s="2">
        <f>employee_data[[#This Row],[Current_Salary]]-employee_data[[#This Row],[Market_Median]]</f>
        <v>-11400</v>
      </c>
      <c r="L352" s="3">
        <f>(employee_data[[#This Row],[Current_Salary]]-employee_data[[#This Row],[Market_Median]])/employee_data[[#This Row],[Market_Median]]</f>
        <v>-0.21923076923076923</v>
      </c>
      <c r="M352" t="str" cm="1">
        <f t="array" ref="M35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53" spans="1:13" x14ac:dyDescent="0.3">
      <c r="A353" s="1" t="s">
        <v>387</v>
      </c>
      <c r="B353" s="1" t="s">
        <v>9</v>
      </c>
      <c r="C353" s="1" t="s">
        <v>60</v>
      </c>
      <c r="D353" s="1" t="s">
        <v>32</v>
      </c>
      <c r="E353" s="1" t="s">
        <v>12</v>
      </c>
      <c r="F353">
        <v>14</v>
      </c>
      <c r="G353" s="2">
        <v>73300</v>
      </c>
      <c r="H353">
        <v>3</v>
      </c>
      <c r="I353" s="2">
        <f>_xlfn.XLOOKUP(employee_data[[#This Row],[Job_Title]],market_benchmarks[Job_Title],market_benchmarks[Market_Median],"Not Found")</f>
        <v>78000</v>
      </c>
      <c r="J353" s="3">
        <f>employee_data[[#This Row],[Current_Salary]]/employee_data[[#This Row],[Market_Median]]</f>
        <v>0.93974358974358974</v>
      </c>
      <c r="K353" s="2">
        <f>employee_data[[#This Row],[Current_Salary]]-employee_data[[#This Row],[Market_Median]]</f>
        <v>-4700</v>
      </c>
      <c r="L353" s="3">
        <f>(employee_data[[#This Row],[Current_Salary]]-employee_data[[#This Row],[Market_Median]])/employee_data[[#This Row],[Market_Median]]</f>
        <v>-6.0256410256410257E-2</v>
      </c>
      <c r="M353" t="str" cm="1">
        <f t="array" ref="M35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54" spans="1:13" x14ac:dyDescent="0.3">
      <c r="A354" s="1" t="s">
        <v>388</v>
      </c>
      <c r="B354" s="1" t="s">
        <v>38</v>
      </c>
      <c r="C354" s="1" t="s">
        <v>39</v>
      </c>
      <c r="D354" s="1" t="s">
        <v>32</v>
      </c>
      <c r="E354" s="1" t="s">
        <v>12</v>
      </c>
      <c r="F354">
        <v>17</v>
      </c>
      <c r="G354" s="2">
        <v>59100</v>
      </c>
      <c r="H354">
        <v>3</v>
      </c>
      <c r="I354" s="2">
        <f>_xlfn.XLOOKUP(employee_data[[#This Row],[Job_Title]],market_benchmarks[Job_Title],market_benchmarks[Market_Median],"Not Found")</f>
        <v>70000</v>
      </c>
      <c r="J354" s="3">
        <f>employee_data[[#This Row],[Current_Salary]]/employee_data[[#This Row],[Market_Median]]</f>
        <v>0.84428571428571431</v>
      </c>
      <c r="K354" s="2">
        <f>employee_data[[#This Row],[Current_Salary]]-employee_data[[#This Row],[Market_Median]]</f>
        <v>-10900</v>
      </c>
      <c r="L354" s="3">
        <f>(employee_data[[#This Row],[Current_Salary]]-employee_data[[#This Row],[Market_Median]])/employee_data[[#This Row],[Market_Median]]</f>
        <v>-0.15571428571428572</v>
      </c>
      <c r="M354" t="str" cm="1">
        <f t="array" ref="M35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55" spans="1:13" x14ac:dyDescent="0.3">
      <c r="A355" s="1" t="s">
        <v>389</v>
      </c>
      <c r="B355" s="1" t="s">
        <v>9</v>
      </c>
      <c r="C355" s="1" t="s">
        <v>60</v>
      </c>
      <c r="D355" s="1" t="s">
        <v>32</v>
      </c>
      <c r="E355" s="1" t="s">
        <v>12</v>
      </c>
      <c r="F355">
        <v>6</v>
      </c>
      <c r="G355" s="2">
        <v>74600</v>
      </c>
      <c r="H355">
        <v>3</v>
      </c>
      <c r="I355" s="2">
        <f>_xlfn.XLOOKUP(employee_data[[#This Row],[Job_Title]],market_benchmarks[Job_Title],market_benchmarks[Market_Median],"Not Found")</f>
        <v>78000</v>
      </c>
      <c r="J355" s="3">
        <f>employee_data[[#This Row],[Current_Salary]]/employee_data[[#This Row],[Market_Median]]</f>
        <v>0.95641025641025645</v>
      </c>
      <c r="K355" s="2">
        <f>employee_data[[#This Row],[Current_Salary]]-employee_data[[#This Row],[Market_Median]]</f>
        <v>-3400</v>
      </c>
      <c r="L355" s="3">
        <f>(employee_data[[#This Row],[Current_Salary]]-employee_data[[#This Row],[Market_Median]])/employee_data[[#This Row],[Market_Median]]</f>
        <v>-4.3589743589743588E-2</v>
      </c>
      <c r="M355" t="str" cm="1">
        <f t="array" ref="M35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56" spans="1:13" x14ac:dyDescent="0.3">
      <c r="A356" s="1" t="s">
        <v>390</v>
      </c>
      <c r="B356" s="1" t="s">
        <v>30</v>
      </c>
      <c r="C356" s="1" t="s">
        <v>31</v>
      </c>
      <c r="D356" s="1" t="s">
        <v>32</v>
      </c>
      <c r="E356" s="1" t="s">
        <v>12</v>
      </c>
      <c r="F356">
        <v>9</v>
      </c>
      <c r="G356" s="2">
        <v>50300</v>
      </c>
      <c r="H356">
        <v>5</v>
      </c>
      <c r="I356" s="2">
        <f>_xlfn.XLOOKUP(employee_data[[#This Row],[Job_Title]],market_benchmarks[Job_Title],market_benchmarks[Market_Median],"Not Found")</f>
        <v>58000</v>
      </c>
      <c r="J356" s="3">
        <f>employee_data[[#This Row],[Current_Salary]]/employee_data[[#This Row],[Market_Median]]</f>
        <v>0.86724137931034484</v>
      </c>
      <c r="K356" s="2">
        <f>employee_data[[#This Row],[Current_Salary]]-employee_data[[#This Row],[Market_Median]]</f>
        <v>-7700</v>
      </c>
      <c r="L356" s="3">
        <f>(employee_data[[#This Row],[Current_Salary]]-employee_data[[#This Row],[Market_Median]])/employee_data[[#This Row],[Market_Median]]</f>
        <v>-0.13275862068965516</v>
      </c>
      <c r="M356" t="str" cm="1">
        <f t="array" ref="M35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57" spans="1:13" x14ac:dyDescent="0.3">
      <c r="A357" s="1" t="s">
        <v>391</v>
      </c>
      <c r="B357" s="1" t="s">
        <v>22</v>
      </c>
      <c r="C357" s="1" t="s">
        <v>23</v>
      </c>
      <c r="D357" s="1" t="s">
        <v>11</v>
      </c>
      <c r="E357" s="1" t="s">
        <v>12</v>
      </c>
      <c r="F357">
        <v>11</v>
      </c>
      <c r="G357" s="2">
        <v>46700</v>
      </c>
      <c r="H357">
        <v>1</v>
      </c>
      <c r="I357" s="2">
        <f>_xlfn.XLOOKUP(employee_data[[#This Row],[Job_Title]],market_benchmarks[Job_Title],market_benchmarks[Market_Median],"Not Found")</f>
        <v>50000</v>
      </c>
      <c r="J357" s="3">
        <f>employee_data[[#This Row],[Current_Salary]]/employee_data[[#This Row],[Market_Median]]</f>
        <v>0.93400000000000005</v>
      </c>
      <c r="K357" s="2">
        <f>employee_data[[#This Row],[Current_Salary]]-employee_data[[#This Row],[Market_Median]]</f>
        <v>-3300</v>
      </c>
      <c r="L357" s="3">
        <f>(employee_data[[#This Row],[Current_Salary]]-employee_data[[#This Row],[Market_Median]])/employee_data[[#This Row],[Market_Median]]</f>
        <v>-6.6000000000000003E-2</v>
      </c>
      <c r="M357" t="str" cm="1">
        <f t="array" ref="M35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58" spans="1:13" x14ac:dyDescent="0.3">
      <c r="A358" s="1" t="s">
        <v>392</v>
      </c>
      <c r="B358" s="1" t="s">
        <v>38</v>
      </c>
      <c r="C358" s="1" t="s">
        <v>96</v>
      </c>
      <c r="D358" s="1" t="s">
        <v>16</v>
      </c>
      <c r="E358" s="1" t="s">
        <v>12</v>
      </c>
      <c r="F358">
        <v>12</v>
      </c>
      <c r="G358" s="2">
        <v>84000</v>
      </c>
      <c r="H358">
        <v>3</v>
      </c>
      <c r="I358" s="2">
        <f>_xlfn.XLOOKUP(employee_data[[#This Row],[Job_Title]],market_benchmarks[Job_Title],market_benchmarks[Market_Median],"Not Found")</f>
        <v>88000</v>
      </c>
      <c r="J358" s="3">
        <f>employee_data[[#This Row],[Current_Salary]]/employee_data[[#This Row],[Market_Median]]</f>
        <v>0.95454545454545459</v>
      </c>
      <c r="K358" s="2">
        <f>employee_data[[#This Row],[Current_Salary]]-employee_data[[#This Row],[Market_Median]]</f>
        <v>-4000</v>
      </c>
      <c r="L358" s="3">
        <f>(employee_data[[#This Row],[Current_Salary]]-employee_data[[#This Row],[Market_Median]])/employee_data[[#This Row],[Market_Median]]</f>
        <v>-4.5454545454545456E-2</v>
      </c>
      <c r="M358" t="str" cm="1">
        <f t="array" ref="M35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59" spans="1:13" x14ac:dyDescent="0.3">
      <c r="A359" s="1" t="s">
        <v>393</v>
      </c>
      <c r="B359" s="1" t="s">
        <v>30</v>
      </c>
      <c r="C359" s="1" t="s">
        <v>31</v>
      </c>
      <c r="D359" s="1" t="s">
        <v>32</v>
      </c>
      <c r="E359" s="1" t="s">
        <v>12</v>
      </c>
      <c r="F359">
        <v>8</v>
      </c>
      <c r="G359" s="2">
        <v>55300</v>
      </c>
      <c r="H359">
        <v>3</v>
      </c>
      <c r="I359" s="2">
        <f>_xlfn.XLOOKUP(employee_data[[#This Row],[Job_Title]],market_benchmarks[Job_Title],market_benchmarks[Market_Median],"Not Found")</f>
        <v>58000</v>
      </c>
      <c r="J359" s="3">
        <f>employee_data[[#This Row],[Current_Salary]]/employee_data[[#This Row],[Market_Median]]</f>
        <v>0.95344827586206893</v>
      </c>
      <c r="K359" s="2">
        <f>employee_data[[#This Row],[Current_Salary]]-employee_data[[#This Row],[Market_Median]]</f>
        <v>-2700</v>
      </c>
      <c r="L359" s="3">
        <f>(employee_data[[#This Row],[Current_Salary]]-employee_data[[#This Row],[Market_Median]])/employee_data[[#This Row],[Market_Median]]</f>
        <v>-4.6551724137931037E-2</v>
      </c>
      <c r="M359" t="str" cm="1">
        <f t="array" ref="M35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60" spans="1:13" x14ac:dyDescent="0.3">
      <c r="A360" s="1" t="s">
        <v>394</v>
      </c>
      <c r="B360" s="1" t="s">
        <v>38</v>
      </c>
      <c r="C360" s="1" t="s">
        <v>55</v>
      </c>
      <c r="D360" s="1" t="s">
        <v>11</v>
      </c>
      <c r="E360" s="1" t="s">
        <v>12</v>
      </c>
      <c r="F360">
        <v>9</v>
      </c>
      <c r="G360" s="2">
        <v>42900</v>
      </c>
      <c r="H360">
        <v>5</v>
      </c>
      <c r="I360" s="2">
        <f>_xlfn.XLOOKUP(employee_data[[#This Row],[Job_Title]],market_benchmarks[Job_Title],market_benchmarks[Market_Median],"Not Found")</f>
        <v>52000</v>
      </c>
      <c r="J360" s="3">
        <f>employee_data[[#This Row],[Current_Salary]]/employee_data[[#This Row],[Market_Median]]</f>
        <v>0.82499999999999996</v>
      </c>
      <c r="K360" s="2">
        <f>employee_data[[#This Row],[Current_Salary]]-employee_data[[#This Row],[Market_Median]]</f>
        <v>-9100</v>
      </c>
      <c r="L360" s="3">
        <f>(employee_data[[#This Row],[Current_Salary]]-employee_data[[#This Row],[Market_Median]])/employee_data[[#This Row],[Market_Median]]</f>
        <v>-0.17499999999999999</v>
      </c>
      <c r="M360" t="str" cm="1">
        <f t="array" ref="M360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61" spans="1:13" x14ac:dyDescent="0.3">
      <c r="A361" s="1" t="s">
        <v>395</v>
      </c>
      <c r="B361" s="1" t="s">
        <v>18</v>
      </c>
      <c r="C361" s="1" t="s">
        <v>43</v>
      </c>
      <c r="D361" s="1" t="s">
        <v>32</v>
      </c>
      <c r="E361" s="1" t="s">
        <v>12</v>
      </c>
      <c r="F361">
        <v>18</v>
      </c>
      <c r="G361" s="2">
        <v>63400</v>
      </c>
      <c r="H361">
        <v>4</v>
      </c>
      <c r="I361" s="2">
        <f>_xlfn.XLOOKUP(employee_data[[#This Row],[Job_Title]],market_benchmarks[Job_Title],market_benchmarks[Market_Median],"Not Found")</f>
        <v>72000</v>
      </c>
      <c r="J361" s="3">
        <f>employee_data[[#This Row],[Current_Salary]]/employee_data[[#This Row],[Market_Median]]</f>
        <v>0.88055555555555554</v>
      </c>
      <c r="K361" s="2">
        <f>employee_data[[#This Row],[Current_Salary]]-employee_data[[#This Row],[Market_Median]]</f>
        <v>-8600</v>
      </c>
      <c r="L361" s="3">
        <f>(employee_data[[#This Row],[Current_Salary]]-employee_data[[#This Row],[Market_Median]])/employee_data[[#This Row],[Market_Median]]</f>
        <v>-0.11944444444444445</v>
      </c>
      <c r="M361" t="str" cm="1">
        <f t="array" ref="M36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62" spans="1:13" x14ac:dyDescent="0.3">
      <c r="A362" s="1" t="s">
        <v>396</v>
      </c>
      <c r="B362" s="1" t="s">
        <v>38</v>
      </c>
      <c r="C362" s="1" t="s">
        <v>55</v>
      </c>
      <c r="D362" s="1" t="s">
        <v>11</v>
      </c>
      <c r="E362" s="1" t="s">
        <v>12</v>
      </c>
      <c r="F362">
        <v>17</v>
      </c>
      <c r="G362" s="2">
        <v>48100</v>
      </c>
      <c r="H362">
        <v>4</v>
      </c>
      <c r="I362" s="2">
        <f>_xlfn.XLOOKUP(employee_data[[#This Row],[Job_Title]],market_benchmarks[Job_Title],market_benchmarks[Market_Median],"Not Found")</f>
        <v>52000</v>
      </c>
      <c r="J362" s="3">
        <f>employee_data[[#This Row],[Current_Salary]]/employee_data[[#This Row],[Market_Median]]</f>
        <v>0.92500000000000004</v>
      </c>
      <c r="K362" s="2">
        <f>employee_data[[#This Row],[Current_Salary]]-employee_data[[#This Row],[Market_Median]]</f>
        <v>-3900</v>
      </c>
      <c r="L362" s="3">
        <f>(employee_data[[#This Row],[Current_Salary]]-employee_data[[#This Row],[Market_Median]])/employee_data[[#This Row],[Market_Median]]</f>
        <v>-7.4999999999999997E-2</v>
      </c>
      <c r="M362" t="str" cm="1">
        <f t="array" ref="M36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63" spans="1:13" x14ac:dyDescent="0.3">
      <c r="A363" s="1" t="s">
        <v>397</v>
      </c>
      <c r="B363" s="1" t="s">
        <v>18</v>
      </c>
      <c r="C363" s="1" t="s">
        <v>19</v>
      </c>
      <c r="D363" s="1" t="s">
        <v>16</v>
      </c>
      <c r="E363" s="1" t="s">
        <v>12</v>
      </c>
      <c r="F363">
        <v>16</v>
      </c>
      <c r="G363" s="2">
        <v>75400</v>
      </c>
      <c r="H363">
        <v>4</v>
      </c>
      <c r="I363" s="2">
        <f>_xlfn.XLOOKUP(employee_data[[#This Row],[Job_Title]],market_benchmarks[Job_Title],market_benchmarks[Market_Median],"Not Found")</f>
        <v>90000</v>
      </c>
      <c r="J363" s="3">
        <f>employee_data[[#This Row],[Current_Salary]]/employee_data[[#This Row],[Market_Median]]</f>
        <v>0.83777777777777773</v>
      </c>
      <c r="K363" s="2">
        <f>employee_data[[#This Row],[Current_Salary]]-employee_data[[#This Row],[Market_Median]]</f>
        <v>-14600</v>
      </c>
      <c r="L363" s="3">
        <f>(employee_data[[#This Row],[Current_Salary]]-employee_data[[#This Row],[Market_Median]])/employee_data[[#This Row],[Market_Median]]</f>
        <v>-0.16222222222222221</v>
      </c>
      <c r="M363" t="str" cm="1">
        <f t="array" ref="M363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64" spans="1:13" x14ac:dyDescent="0.3">
      <c r="A364" s="1" t="s">
        <v>398</v>
      </c>
      <c r="B364" s="1" t="s">
        <v>38</v>
      </c>
      <c r="C364" s="1" t="s">
        <v>55</v>
      </c>
      <c r="D364" s="1" t="s">
        <v>11</v>
      </c>
      <c r="E364" s="1" t="s">
        <v>12</v>
      </c>
      <c r="F364">
        <v>20</v>
      </c>
      <c r="G364" s="2">
        <v>49600</v>
      </c>
      <c r="H364">
        <v>2</v>
      </c>
      <c r="I364" s="2">
        <f>_xlfn.XLOOKUP(employee_data[[#This Row],[Job_Title]],market_benchmarks[Job_Title],market_benchmarks[Market_Median],"Not Found")</f>
        <v>52000</v>
      </c>
      <c r="J364" s="3">
        <f>employee_data[[#This Row],[Current_Salary]]/employee_data[[#This Row],[Market_Median]]</f>
        <v>0.9538461538461539</v>
      </c>
      <c r="K364" s="2">
        <f>employee_data[[#This Row],[Current_Salary]]-employee_data[[#This Row],[Market_Median]]</f>
        <v>-2400</v>
      </c>
      <c r="L364" s="3">
        <f>(employee_data[[#This Row],[Current_Salary]]-employee_data[[#This Row],[Market_Median]])/employee_data[[#This Row],[Market_Median]]</f>
        <v>-4.6153846153846156E-2</v>
      </c>
      <c r="M364" t="str" cm="1">
        <f t="array" ref="M36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65" spans="1:13" x14ac:dyDescent="0.3">
      <c r="A365" s="1" t="s">
        <v>399</v>
      </c>
      <c r="B365" s="1" t="s">
        <v>9</v>
      </c>
      <c r="C365" s="1" t="s">
        <v>25</v>
      </c>
      <c r="D365" s="1" t="s">
        <v>16</v>
      </c>
      <c r="E365" s="1" t="s">
        <v>12</v>
      </c>
      <c r="F365">
        <v>10</v>
      </c>
      <c r="G365" s="2">
        <v>91700</v>
      </c>
      <c r="H365">
        <v>3</v>
      </c>
      <c r="I365" s="2">
        <f>_xlfn.XLOOKUP(employee_data[[#This Row],[Job_Title]],market_benchmarks[Job_Title],market_benchmarks[Market_Median],"Not Found")</f>
        <v>98000</v>
      </c>
      <c r="J365" s="3">
        <f>employee_data[[#This Row],[Current_Salary]]/employee_data[[#This Row],[Market_Median]]</f>
        <v>0.93571428571428572</v>
      </c>
      <c r="K365" s="2">
        <f>employee_data[[#This Row],[Current_Salary]]-employee_data[[#This Row],[Market_Median]]</f>
        <v>-6300</v>
      </c>
      <c r="L365" s="3">
        <f>(employee_data[[#This Row],[Current_Salary]]-employee_data[[#This Row],[Market_Median]])/employee_data[[#This Row],[Market_Median]]</f>
        <v>-6.4285714285714279E-2</v>
      </c>
      <c r="M365" t="str" cm="1">
        <f t="array" ref="M36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66" spans="1:13" x14ac:dyDescent="0.3">
      <c r="A366" s="1" t="s">
        <v>400</v>
      </c>
      <c r="B366" s="1" t="s">
        <v>22</v>
      </c>
      <c r="C366" s="1" t="s">
        <v>23</v>
      </c>
      <c r="D366" s="1" t="s">
        <v>11</v>
      </c>
      <c r="E366" s="1" t="s">
        <v>12</v>
      </c>
      <c r="F366">
        <v>1</v>
      </c>
      <c r="G366" s="2">
        <v>55900</v>
      </c>
      <c r="H366">
        <v>3</v>
      </c>
      <c r="I366" s="2">
        <f>_xlfn.XLOOKUP(employee_data[[#This Row],[Job_Title]],market_benchmarks[Job_Title],market_benchmarks[Market_Median],"Not Found")</f>
        <v>50000</v>
      </c>
      <c r="J366" s="3">
        <f>employee_data[[#This Row],[Current_Salary]]/employee_data[[#This Row],[Market_Median]]</f>
        <v>1.1180000000000001</v>
      </c>
      <c r="K366" s="2">
        <f>employee_data[[#This Row],[Current_Salary]]-employee_data[[#This Row],[Market_Median]]</f>
        <v>5900</v>
      </c>
      <c r="L366" s="3">
        <f>(employee_data[[#This Row],[Current_Salary]]-employee_data[[#This Row],[Market_Median]])/employee_data[[#This Row],[Market_Median]]</f>
        <v>0.11799999999999999</v>
      </c>
      <c r="M366" t="str" cm="1">
        <f t="array" ref="M36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67" spans="1:13" x14ac:dyDescent="0.3">
      <c r="A367" s="1" t="s">
        <v>401</v>
      </c>
      <c r="B367" s="1" t="s">
        <v>38</v>
      </c>
      <c r="C367" s="1" t="s">
        <v>39</v>
      </c>
      <c r="D367" s="1" t="s">
        <v>32</v>
      </c>
      <c r="E367" s="1" t="s">
        <v>12</v>
      </c>
      <c r="F367">
        <v>6</v>
      </c>
      <c r="G367" s="2">
        <v>73000</v>
      </c>
      <c r="H367">
        <v>4</v>
      </c>
      <c r="I367" s="2">
        <f>_xlfn.XLOOKUP(employee_data[[#This Row],[Job_Title]],market_benchmarks[Job_Title],market_benchmarks[Market_Median],"Not Found")</f>
        <v>70000</v>
      </c>
      <c r="J367" s="3">
        <f>employee_data[[#This Row],[Current_Salary]]/employee_data[[#This Row],[Market_Median]]</f>
        <v>1.0428571428571429</v>
      </c>
      <c r="K367" s="2">
        <f>employee_data[[#This Row],[Current_Salary]]-employee_data[[#This Row],[Market_Median]]</f>
        <v>3000</v>
      </c>
      <c r="L367" s="3">
        <f>(employee_data[[#This Row],[Current_Salary]]-employee_data[[#This Row],[Market_Median]])/employee_data[[#This Row],[Market_Median]]</f>
        <v>4.2857142857142858E-2</v>
      </c>
      <c r="M367" t="str" cm="1">
        <f t="array" ref="M36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68" spans="1:13" x14ac:dyDescent="0.3">
      <c r="A368" s="1" t="s">
        <v>402</v>
      </c>
      <c r="B368" s="1" t="s">
        <v>14</v>
      </c>
      <c r="C368" s="1" t="s">
        <v>15</v>
      </c>
      <c r="D368" s="1" t="s">
        <v>16</v>
      </c>
      <c r="E368" s="1" t="s">
        <v>12</v>
      </c>
      <c r="F368">
        <v>13</v>
      </c>
      <c r="G368" s="2">
        <v>82600</v>
      </c>
      <c r="H368">
        <v>2</v>
      </c>
      <c r="I368" s="2">
        <f>_xlfn.XLOOKUP(employee_data[[#This Row],[Job_Title]],market_benchmarks[Job_Title],market_benchmarks[Market_Median],"Not Found")</f>
        <v>82000</v>
      </c>
      <c r="J368" s="3">
        <f>employee_data[[#This Row],[Current_Salary]]/employee_data[[#This Row],[Market_Median]]</f>
        <v>1.0073170731707317</v>
      </c>
      <c r="K368" s="2">
        <f>employee_data[[#This Row],[Current_Salary]]-employee_data[[#This Row],[Market_Median]]</f>
        <v>600</v>
      </c>
      <c r="L368" s="3">
        <f>(employee_data[[#This Row],[Current_Salary]]-employee_data[[#This Row],[Market_Median]])/employee_data[[#This Row],[Market_Median]]</f>
        <v>7.3170731707317077E-3</v>
      </c>
      <c r="M368" t="str" cm="1">
        <f t="array" ref="M36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69" spans="1:13" x14ac:dyDescent="0.3">
      <c r="A369" s="1" t="s">
        <v>403</v>
      </c>
      <c r="B369" s="1" t="s">
        <v>18</v>
      </c>
      <c r="C369" s="1" t="s">
        <v>43</v>
      </c>
      <c r="D369" s="1" t="s">
        <v>32</v>
      </c>
      <c r="E369" s="1" t="s">
        <v>12</v>
      </c>
      <c r="F369">
        <v>3</v>
      </c>
      <c r="G369" s="2">
        <v>80100</v>
      </c>
      <c r="H369">
        <v>2</v>
      </c>
      <c r="I369" s="2">
        <f>_xlfn.XLOOKUP(employee_data[[#This Row],[Job_Title]],market_benchmarks[Job_Title],market_benchmarks[Market_Median],"Not Found")</f>
        <v>72000</v>
      </c>
      <c r="J369" s="3">
        <f>employee_data[[#This Row],[Current_Salary]]/employee_data[[#This Row],[Market_Median]]</f>
        <v>1.1125</v>
      </c>
      <c r="K369" s="2">
        <f>employee_data[[#This Row],[Current_Salary]]-employee_data[[#This Row],[Market_Median]]</f>
        <v>8100</v>
      </c>
      <c r="L369" s="3">
        <f>(employee_data[[#This Row],[Current_Salary]]-employee_data[[#This Row],[Market_Median]])/employee_data[[#This Row],[Market_Median]]</f>
        <v>0.1125</v>
      </c>
      <c r="M369" t="str" cm="1">
        <f t="array" ref="M36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70" spans="1:13" x14ac:dyDescent="0.3">
      <c r="A370" s="1" t="s">
        <v>404</v>
      </c>
      <c r="B370" s="1" t="s">
        <v>30</v>
      </c>
      <c r="C370" s="1" t="s">
        <v>76</v>
      </c>
      <c r="D370" s="1" t="s">
        <v>16</v>
      </c>
      <c r="E370" s="1" t="s">
        <v>12</v>
      </c>
      <c r="F370">
        <v>8</v>
      </c>
      <c r="G370" s="2">
        <v>63700</v>
      </c>
      <c r="H370">
        <v>3</v>
      </c>
      <c r="I370" s="2">
        <f>_xlfn.XLOOKUP(employee_data[[#This Row],[Job_Title]],market_benchmarks[Job_Title],market_benchmarks[Market_Median],"Not Found")</f>
        <v>72000</v>
      </c>
      <c r="J370" s="3">
        <f>employee_data[[#This Row],[Current_Salary]]/employee_data[[#This Row],[Market_Median]]</f>
        <v>0.88472222222222219</v>
      </c>
      <c r="K370" s="2">
        <f>employee_data[[#This Row],[Current_Salary]]-employee_data[[#This Row],[Market_Median]]</f>
        <v>-8300</v>
      </c>
      <c r="L370" s="3">
        <f>(employee_data[[#This Row],[Current_Salary]]-employee_data[[#This Row],[Market_Median]])/employee_data[[#This Row],[Market_Median]]</f>
        <v>-0.11527777777777778</v>
      </c>
      <c r="M370" t="str" cm="1">
        <f t="array" ref="M37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71" spans="1:13" x14ac:dyDescent="0.3">
      <c r="A371" s="1" t="s">
        <v>405</v>
      </c>
      <c r="B371" s="1" t="s">
        <v>9</v>
      </c>
      <c r="C371" s="1" t="s">
        <v>10</v>
      </c>
      <c r="D371" s="1" t="s">
        <v>11</v>
      </c>
      <c r="E371" s="1" t="s">
        <v>12</v>
      </c>
      <c r="F371">
        <v>16</v>
      </c>
      <c r="G371" s="2">
        <v>48000</v>
      </c>
      <c r="H371">
        <v>4</v>
      </c>
      <c r="I371" s="2">
        <f>_xlfn.XLOOKUP(employee_data[[#This Row],[Job_Title]],market_benchmarks[Job_Title],market_benchmarks[Market_Median],"Not Found")</f>
        <v>58000</v>
      </c>
      <c r="J371" s="3">
        <f>employee_data[[#This Row],[Current_Salary]]/employee_data[[#This Row],[Market_Median]]</f>
        <v>0.82758620689655171</v>
      </c>
      <c r="K371" s="2">
        <f>employee_data[[#This Row],[Current_Salary]]-employee_data[[#This Row],[Market_Median]]</f>
        <v>-10000</v>
      </c>
      <c r="L371" s="3">
        <f>(employee_data[[#This Row],[Current_Salary]]-employee_data[[#This Row],[Market_Median]])/employee_data[[#This Row],[Market_Median]]</f>
        <v>-0.17241379310344829</v>
      </c>
      <c r="M371" t="str" cm="1">
        <f t="array" ref="M37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72" spans="1:13" x14ac:dyDescent="0.3">
      <c r="A372" s="1" t="s">
        <v>406</v>
      </c>
      <c r="B372" s="1" t="s">
        <v>9</v>
      </c>
      <c r="C372" s="1" t="s">
        <v>10</v>
      </c>
      <c r="D372" s="1" t="s">
        <v>11</v>
      </c>
      <c r="E372" s="1" t="s">
        <v>12</v>
      </c>
      <c r="F372">
        <v>11</v>
      </c>
      <c r="G372" s="2">
        <v>61100</v>
      </c>
      <c r="H372">
        <v>3</v>
      </c>
      <c r="I372" s="2">
        <f>_xlfn.XLOOKUP(employee_data[[#This Row],[Job_Title]],market_benchmarks[Job_Title],market_benchmarks[Market_Median],"Not Found")</f>
        <v>58000</v>
      </c>
      <c r="J372" s="3">
        <f>employee_data[[#This Row],[Current_Salary]]/employee_data[[#This Row],[Market_Median]]</f>
        <v>1.0534482758620689</v>
      </c>
      <c r="K372" s="2">
        <f>employee_data[[#This Row],[Current_Salary]]-employee_data[[#This Row],[Market_Median]]</f>
        <v>3100</v>
      </c>
      <c r="L372" s="3">
        <f>(employee_data[[#This Row],[Current_Salary]]-employee_data[[#This Row],[Market_Median]])/employee_data[[#This Row],[Market_Median]]</f>
        <v>5.3448275862068968E-2</v>
      </c>
      <c r="M372" t="str" cm="1">
        <f t="array" ref="M37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73" spans="1:13" x14ac:dyDescent="0.3">
      <c r="A373" s="1" t="s">
        <v>407</v>
      </c>
      <c r="B373" s="1" t="s">
        <v>38</v>
      </c>
      <c r="C373" s="1" t="s">
        <v>96</v>
      </c>
      <c r="D373" s="1" t="s">
        <v>16</v>
      </c>
      <c r="E373" s="1" t="s">
        <v>12</v>
      </c>
      <c r="F373">
        <v>11</v>
      </c>
      <c r="G373" s="2">
        <v>84600</v>
      </c>
      <c r="H373">
        <v>3</v>
      </c>
      <c r="I373" s="2">
        <f>_xlfn.XLOOKUP(employee_data[[#This Row],[Job_Title]],market_benchmarks[Job_Title],market_benchmarks[Market_Median],"Not Found")</f>
        <v>88000</v>
      </c>
      <c r="J373" s="3">
        <f>employee_data[[#This Row],[Current_Salary]]/employee_data[[#This Row],[Market_Median]]</f>
        <v>0.96136363636363631</v>
      </c>
      <c r="K373" s="2">
        <f>employee_data[[#This Row],[Current_Salary]]-employee_data[[#This Row],[Market_Median]]</f>
        <v>-3400</v>
      </c>
      <c r="L373" s="3">
        <f>(employee_data[[#This Row],[Current_Salary]]-employee_data[[#This Row],[Market_Median]])/employee_data[[#This Row],[Market_Median]]</f>
        <v>-3.8636363636363635E-2</v>
      </c>
      <c r="M373" t="str" cm="1">
        <f t="array" ref="M37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74" spans="1:13" x14ac:dyDescent="0.3">
      <c r="A374" s="1" t="s">
        <v>408</v>
      </c>
      <c r="B374" s="1" t="s">
        <v>14</v>
      </c>
      <c r="C374" s="1" t="s">
        <v>65</v>
      </c>
      <c r="D374" s="1" t="s">
        <v>32</v>
      </c>
      <c r="E374" s="1" t="s">
        <v>12</v>
      </c>
      <c r="F374">
        <v>5</v>
      </c>
      <c r="G374" s="2">
        <v>54400</v>
      </c>
      <c r="H374">
        <v>2</v>
      </c>
      <c r="I374" s="2">
        <f>_xlfn.XLOOKUP(employee_data[[#This Row],[Job_Title]],market_benchmarks[Job_Title],market_benchmarks[Market_Median],"Not Found")</f>
        <v>68000</v>
      </c>
      <c r="J374" s="3">
        <f>employee_data[[#This Row],[Current_Salary]]/employee_data[[#This Row],[Market_Median]]</f>
        <v>0.8</v>
      </c>
      <c r="K374" s="2">
        <f>employee_data[[#This Row],[Current_Salary]]-employee_data[[#This Row],[Market_Median]]</f>
        <v>-13600</v>
      </c>
      <c r="L374" s="3">
        <f>(employee_data[[#This Row],[Current_Salary]]-employee_data[[#This Row],[Market_Median]])/employee_data[[#This Row],[Market_Median]]</f>
        <v>-0.2</v>
      </c>
      <c r="M374" t="str" cm="1">
        <f t="array" ref="M37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75" spans="1:13" x14ac:dyDescent="0.3">
      <c r="A375" s="1" t="s">
        <v>409</v>
      </c>
      <c r="B375" s="1" t="s">
        <v>14</v>
      </c>
      <c r="C375" s="1" t="s">
        <v>65</v>
      </c>
      <c r="D375" s="1" t="s">
        <v>32</v>
      </c>
      <c r="E375" s="1" t="s">
        <v>12</v>
      </c>
      <c r="F375">
        <v>19</v>
      </c>
      <c r="G375" s="2">
        <v>55600</v>
      </c>
      <c r="H375">
        <v>2</v>
      </c>
      <c r="I375" s="2">
        <f>_xlfn.XLOOKUP(employee_data[[#This Row],[Job_Title]],market_benchmarks[Job_Title],market_benchmarks[Market_Median],"Not Found")</f>
        <v>68000</v>
      </c>
      <c r="J375" s="3">
        <f>employee_data[[#This Row],[Current_Salary]]/employee_data[[#This Row],[Market_Median]]</f>
        <v>0.81764705882352939</v>
      </c>
      <c r="K375" s="2">
        <f>employee_data[[#This Row],[Current_Salary]]-employee_data[[#This Row],[Market_Median]]</f>
        <v>-12400</v>
      </c>
      <c r="L375" s="3">
        <f>(employee_data[[#This Row],[Current_Salary]]-employee_data[[#This Row],[Market_Median]])/employee_data[[#This Row],[Market_Median]]</f>
        <v>-0.18235294117647058</v>
      </c>
      <c r="M375" t="str" cm="1">
        <f t="array" ref="M37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76" spans="1:13" x14ac:dyDescent="0.3">
      <c r="A376" s="1" t="s">
        <v>410</v>
      </c>
      <c r="B376" s="1" t="s">
        <v>9</v>
      </c>
      <c r="C376" s="1" t="s">
        <v>60</v>
      </c>
      <c r="D376" s="1" t="s">
        <v>32</v>
      </c>
      <c r="E376" s="1" t="s">
        <v>12</v>
      </c>
      <c r="F376">
        <v>3</v>
      </c>
      <c r="G376" s="2">
        <v>84300</v>
      </c>
      <c r="H376">
        <v>5</v>
      </c>
      <c r="I376" s="2">
        <f>_xlfn.XLOOKUP(employee_data[[#This Row],[Job_Title]],market_benchmarks[Job_Title],market_benchmarks[Market_Median],"Not Found")</f>
        <v>78000</v>
      </c>
      <c r="J376" s="3">
        <f>employee_data[[#This Row],[Current_Salary]]/employee_data[[#This Row],[Market_Median]]</f>
        <v>1.0807692307692307</v>
      </c>
      <c r="K376" s="2">
        <f>employee_data[[#This Row],[Current_Salary]]-employee_data[[#This Row],[Market_Median]]</f>
        <v>6300</v>
      </c>
      <c r="L376" s="3">
        <f>(employee_data[[#This Row],[Current_Salary]]-employee_data[[#This Row],[Market_Median]])/employee_data[[#This Row],[Market_Median]]</f>
        <v>8.0769230769230774E-2</v>
      </c>
      <c r="M376" t="str" cm="1">
        <f t="array" ref="M37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77" spans="1:13" x14ac:dyDescent="0.3">
      <c r="A377" s="1" t="s">
        <v>411</v>
      </c>
      <c r="B377" s="1" t="s">
        <v>38</v>
      </c>
      <c r="C377" s="1" t="s">
        <v>39</v>
      </c>
      <c r="D377" s="1" t="s">
        <v>32</v>
      </c>
      <c r="E377" s="1" t="s">
        <v>12</v>
      </c>
      <c r="F377">
        <v>15</v>
      </c>
      <c r="G377" s="2">
        <v>71400</v>
      </c>
      <c r="H377">
        <v>1</v>
      </c>
      <c r="I377" s="2">
        <f>_xlfn.XLOOKUP(employee_data[[#This Row],[Job_Title]],market_benchmarks[Job_Title],market_benchmarks[Market_Median],"Not Found")</f>
        <v>70000</v>
      </c>
      <c r="J377" s="3">
        <f>employee_data[[#This Row],[Current_Salary]]/employee_data[[#This Row],[Market_Median]]</f>
        <v>1.02</v>
      </c>
      <c r="K377" s="2">
        <f>employee_data[[#This Row],[Current_Salary]]-employee_data[[#This Row],[Market_Median]]</f>
        <v>1400</v>
      </c>
      <c r="L377" s="3">
        <f>(employee_data[[#This Row],[Current_Salary]]-employee_data[[#This Row],[Market_Median]])/employee_data[[#This Row],[Market_Median]]</f>
        <v>0.02</v>
      </c>
      <c r="M377" t="str" cm="1">
        <f t="array" ref="M37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78" spans="1:13" x14ac:dyDescent="0.3">
      <c r="A378" s="1" t="s">
        <v>412</v>
      </c>
      <c r="B378" s="1" t="s">
        <v>9</v>
      </c>
      <c r="C378" s="1" t="s">
        <v>25</v>
      </c>
      <c r="D378" s="1" t="s">
        <v>16</v>
      </c>
      <c r="E378" s="1" t="s">
        <v>12</v>
      </c>
      <c r="F378">
        <v>15</v>
      </c>
      <c r="G378" s="2">
        <v>85700</v>
      </c>
      <c r="H378">
        <v>3</v>
      </c>
      <c r="I378" s="2">
        <f>_xlfn.XLOOKUP(employee_data[[#This Row],[Job_Title]],market_benchmarks[Job_Title],market_benchmarks[Market_Median],"Not Found")</f>
        <v>98000</v>
      </c>
      <c r="J378" s="3">
        <f>employee_data[[#This Row],[Current_Salary]]/employee_data[[#This Row],[Market_Median]]</f>
        <v>0.8744897959183674</v>
      </c>
      <c r="K378" s="2">
        <f>employee_data[[#This Row],[Current_Salary]]-employee_data[[#This Row],[Market_Median]]</f>
        <v>-12300</v>
      </c>
      <c r="L378" s="3">
        <f>(employee_data[[#This Row],[Current_Salary]]-employee_data[[#This Row],[Market_Median]])/employee_data[[#This Row],[Market_Median]]</f>
        <v>-0.12551020408163266</v>
      </c>
      <c r="M378" t="str" cm="1">
        <f t="array" ref="M37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79" spans="1:13" x14ac:dyDescent="0.3">
      <c r="A379" s="1" t="s">
        <v>413</v>
      </c>
      <c r="B379" s="1" t="s">
        <v>22</v>
      </c>
      <c r="C379" s="1" t="s">
        <v>23</v>
      </c>
      <c r="D379" s="1" t="s">
        <v>11</v>
      </c>
      <c r="E379" s="1" t="s">
        <v>12</v>
      </c>
      <c r="F379">
        <v>19</v>
      </c>
      <c r="G379" s="2">
        <v>51400</v>
      </c>
      <c r="H379">
        <v>3</v>
      </c>
      <c r="I379" s="2">
        <f>_xlfn.XLOOKUP(employee_data[[#This Row],[Job_Title]],market_benchmarks[Job_Title],market_benchmarks[Market_Median],"Not Found")</f>
        <v>50000</v>
      </c>
      <c r="J379" s="3">
        <f>employee_data[[#This Row],[Current_Salary]]/employee_data[[#This Row],[Market_Median]]</f>
        <v>1.028</v>
      </c>
      <c r="K379" s="2">
        <f>employee_data[[#This Row],[Current_Salary]]-employee_data[[#This Row],[Market_Median]]</f>
        <v>1400</v>
      </c>
      <c r="L379" s="3">
        <f>(employee_data[[#This Row],[Current_Salary]]-employee_data[[#This Row],[Market_Median]])/employee_data[[#This Row],[Market_Median]]</f>
        <v>2.8000000000000001E-2</v>
      </c>
      <c r="M379" t="str" cm="1">
        <f t="array" ref="M37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0" spans="1:13" x14ac:dyDescent="0.3">
      <c r="A380" s="1" t="s">
        <v>414</v>
      </c>
      <c r="B380" s="1" t="s">
        <v>38</v>
      </c>
      <c r="C380" s="1" t="s">
        <v>96</v>
      </c>
      <c r="D380" s="1" t="s">
        <v>16</v>
      </c>
      <c r="E380" s="1" t="s">
        <v>12</v>
      </c>
      <c r="F380">
        <v>0</v>
      </c>
      <c r="G380" s="2">
        <v>72700</v>
      </c>
      <c r="H380">
        <v>3</v>
      </c>
      <c r="I380" s="2">
        <f>_xlfn.XLOOKUP(employee_data[[#This Row],[Job_Title]],market_benchmarks[Job_Title],market_benchmarks[Market_Median],"Not Found")</f>
        <v>88000</v>
      </c>
      <c r="J380" s="3">
        <f>employee_data[[#This Row],[Current_Salary]]/employee_data[[#This Row],[Market_Median]]</f>
        <v>0.82613636363636367</v>
      </c>
      <c r="K380" s="2">
        <f>employee_data[[#This Row],[Current_Salary]]-employee_data[[#This Row],[Market_Median]]</f>
        <v>-15300</v>
      </c>
      <c r="L380" s="3">
        <f>(employee_data[[#This Row],[Current_Salary]]-employee_data[[#This Row],[Market_Median]])/employee_data[[#This Row],[Market_Median]]</f>
        <v>-0.17386363636363636</v>
      </c>
      <c r="M380" t="str" cm="1">
        <f t="array" ref="M380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81" spans="1:13" x14ac:dyDescent="0.3">
      <c r="A381" s="1" t="s">
        <v>415</v>
      </c>
      <c r="B381" s="1" t="s">
        <v>18</v>
      </c>
      <c r="C381" s="1" t="s">
        <v>43</v>
      </c>
      <c r="D381" s="1" t="s">
        <v>32</v>
      </c>
      <c r="E381" s="1" t="s">
        <v>12</v>
      </c>
      <c r="F381">
        <v>3</v>
      </c>
      <c r="G381" s="2">
        <v>68600</v>
      </c>
      <c r="H381">
        <v>3</v>
      </c>
      <c r="I381" s="2">
        <f>_xlfn.XLOOKUP(employee_data[[#This Row],[Job_Title]],market_benchmarks[Job_Title],market_benchmarks[Market_Median],"Not Found")</f>
        <v>72000</v>
      </c>
      <c r="J381" s="3">
        <f>employee_data[[#This Row],[Current_Salary]]/employee_data[[#This Row],[Market_Median]]</f>
        <v>0.95277777777777772</v>
      </c>
      <c r="K381" s="2">
        <f>employee_data[[#This Row],[Current_Salary]]-employee_data[[#This Row],[Market_Median]]</f>
        <v>-3400</v>
      </c>
      <c r="L381" s="3">
        <f>(employee_data[[#This Row],[Current_Salary]]-employee_data[[#This Row],[Market_Median]])/employee_data[[#This Row],[Market_Median]]</f>
        <v>-4.7222222222222221E-2</v>
      </c>
      <c r="M381" t="str" cm="1">
        <f t="array" ref="M38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2" spans="1:13" x14ac:dyDescent="0.3">
      <c r="A382" s="1" t="s">
        <v>416</v>
      </c>
      <c r="B382" s="1" t="s">
        <v>38</v>
      </c>
      <c r="C382" s="1" t="s">
        <v>55</v>
      </c>
      <c r="D382" s="1" t="s">
        <v>11</v>
      </c>
      <c r="E382" s="1" t="s">
        <v>12</v>
      </c>
      <c r="F382">
        <v>1</v>
      </c>
      <c r="G382" s="2">
        <v>43100</v>
      </c>
      <c r="H382">
        <v>3</v>
      </c>
      <c r="I382" s="2">
        <f>_xlfn.XLOOKUP(employee_data[[#This Row],[Job_Title]],market_benchmarks[Job_Title],market_benchmarks[Market_Median],"Not Found")</f>
        <v>52000</v>
      </c>
      <c r="J382" s="3">
        <f>employee_data[[#This Row],[Current_Salary]]/employee_data[[#This Row],[Market_Median]]</f>
        <v>0.8288461538461539</v>
      </c>
      <c r="K382" s="2">
        <f>employee_data[[#This Row],[Current_Salary]]-employee_data[[#This Row],[Market_Median]]</f>
        <v>-8900</v>
      </c>
      <c r="L382" s="3">
        <f>(employee_data[[#This Row],[Current_Salary]]-employee_data[[#This Row],[Market_Median]])/employee_data[[#This Row],[Market_Median]]</f>
        <v>-0.17115384615384616</v>
      </c>
      <c r="M382" t="str" cm="1">
        <f t="array" ref="M38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83" spans="1:13" x14ac:dyDescent="0.3">
      <c r="A383" s="1" t="s">
        <v>417</v>
      </c>
      <c r="B383" s="1" t="s">
        <v>30</v>
      </c>
      <c r="C383" s="1" t="s">
        <v>76</v>
      </c>
      <c r="D383" s="1" t="s">
        <v>16</v>
      </c>
      <c r="E383" s="1" t="s">
        <v>12</v>
      </c>
      <c r="F383">
        <v>2</v>
      </c>
      <c r="G383" s="2">
        <v>63200</v>
      </c>
      <c r="H383">
        <v>3</v>
      </c>
      <c r="I383" s="2">
        <f>_xlfn.XLOOKUP(employee_data[[#This Row],[Job_Title]],market_benchmarks[Job_Title],market_benchmarks[Market_Median],"Not Found")</f>
        <v>72000</v>
      </c>
      <c r="J383" s="3">
        <f>employee_data[[#This Row],[Current_Salary]]/employee_data[[#This Row],[Market_Median]]</f>
        <v>0.87777777777777777</v>
      </c>
      <c r="K383" s="2">
        <f>employee_data[[#This Row],[Current_Salary]]-employee_data[[#This Row],[Market_Median]]</f>
        <v>-8800</v>
      </c>
      <c r="L383" s="3">
        <f>(employee_data[[#This Row],[Current_Salary]]-employee_data[[#This Row],[Market_Median]])/employee_data[[#This Row],[Market_Median]]</f>
        <v>-0.12222222222222222</v>
      </c>
      <c r="M383" t="str" cm="1">
        <f t="array" ref="M38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84" spans="1:13" x14ac:dyDescent="0.3">
      <c r="A384" s="1" t="s">
        <v>418</v>
      </c>
      <c r="B384" s="1" t="s">
        <v>38</v>
      </c>
      <c r="C384" s="1" t="s">
        <v>39</v>
      </c>
      <c r="D384" s="1" t="s">
        <v>32</v>
      </c>
      <c r="E384" s="1" t="s">
        <v>12</v>
      </c>
      <c r="F384">
        <v>5</v>
      </c>
      <c r="G384" s="2">
        <v>68300</v>
      </c>
      <c r="H384">
        <v>5</v>
      </c>
      <c r="I384" s="2">
        <f>_xlfn.XLOOKUP(employee_data[[#This Row],[Job_Title]],market_benchmarks[Job_Title],market_benchmarks[Market_Median],"Not Found")</f>
        <v>70000</v>
      </c>
      <c r="J384" s="3">
        <f>employee_data[[#This Row],[Current_Salary]]/employee_data[[#This Row],[Market_Median]]</f>
        <v>0.97571428571428576</v>
      </c>
      <c r="K384" s="2">
        <f>employee_data[[#This Row],[Current_Salary]]-employee_data[[#This Row],[Market_Median]]</f>
        <v>-1700</v>
      </c>
      <c r="L384" s="3">
        <f>(employee_data[[#This Row],[Current_Salary]]-employee_data[[#This Row],[Market_Median]])/employee_data[[#This Row],[Market_Median]]</f>
        <v>-2.4285714285714285E-2</v>
      </c>
      <c r="M384" t="str" cm="1">
        <f t="array" ref="M38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5" spans="1:13" x14ac:dyDescent="0.3">
      <c r="A385" s="1" t="s">
        <v>419</v>
      </c>
      <c r="B385" s="1" t="s">
        <v>18</v>
      </c>
      <c r="C385" s="1" t="s">
        <v>43</v>
      </c>
      <c r="D385" s="1" t="s">
        <v>32</v>
      </c>
      <c r="E385" s="1" t="s">
        <v>12</v>
      </c>
      <c r="F385">
        <v>11</v>
      </c>
      <c r="G385" s="2">
        <v>68400</v>
      </c>
      <c r="H385">
        <v>5</v>
      </c>
      <c r="I385" s="2">
        <f>_xlfn.XLOOKUP(employee_data[[#This Row],[Job_Title]],market_benchmarks[Job_Title],market_benchmarks[Market_Median],"Not Found")</f>
        <v>72000</v>
      </c>
      <c r="J385" s="3">
        <f>employee_data[[#This Row],[Current_Salary]]/employee_data[[#This Row],[Market_Median]]</f>
        <v>0.95</v>
      </c>
      <c r="K385" s="2">
        <f>employee_data[[#This Row],[Current_Salary]]-employee_data[[#This Row],[Market_Median]]</f>
        <v>-3600</v>
      </c>
      <c r="L385" s="3">
        <f>(employee_data[[#This Row],[Current_Salary]]-employee_data[[#This Row],[Market_Median]])/employee_data[[#This Row],[Market_Median]]</f>
        <v>-0.05</v>
      </c>
      <c r="M385" t="str" cm="1">
        <f t="array" ref="M38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6" spans="1:13" x14ac:dyDescent="0.3">
      <c r="A386" s="1" t="s">
        <v>420</v>
      </c>
      <c r="B386" s="1" t="s">
        <v>38</v>
      </c>
      <c r="C386" s="1" t="s">
        <v>39</v>
      </c>
      <c r="D386" s="1" t="s">
        <v>32</v>
      </c>
      <c r="E386" s="1" t="s">
        <v>12</v>
      </c>
      <c r="F386">
        <v>17</v>
      </c>
      <c r="G386" s="2">
        <v>69100</v>
      </c>
      <c r="H386">
        <v>3</v>
      </c>
      <c r="I386" s="2">
        <f>_xlfn.XLOOKUP(employee_data[[#This Row],[Job_Title]],market_benchmarks[Job_Title],market_benchmarks[Market_Median],"Not Found")</f>
        <v>70000</v>
      </c>
      <c r="J386" s="3">
        <f>employee_data[[#This Row],[Current_Salary]]/employee_data[[#This Row],[Market_Median]]</f>
        <v>0.9871428571428571</v>
      </c>
      <c r="K386" s="2">
        <f>employee_data[[#This Row],[Current_Salary]]-employee_data[[#This Row],[Market_Median]]</f>
        <v>-900</v>
      </c>
      <c r="L386" s="3">
        <f>(employee_data[[#This Row],[Current_Salary]]-employee_data[[#This Row],[Market_Median]])/employee_data[[#This Row],[Market_Median]]</f>
        <v>-1.2857142857142857E-2</v>
      </c>
      <c r="M386" t="str" cm="1">
        <f t="array" ref="M38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7" spans="1:13" x14ac:dyDescent="0.3">
      <c r="A387" s="1" t="s">
        <v>421</v>
      </c>
      <c r="B387" s="1" t="s">
        <v>22</v>
      </c>
      <c r="C387" s="1" t="s">
        <v>36</v>
      </c>
      <c r="D387" s="1" t="s">
        <v>32</v>
      </c>
      <c r="E387" s="1" t="s">
        <v>12</v>
      </c>
      <c r="F387">
        <v>2</v>
      </c>
      <c r="G387" s="2">
        <v>78200</v>
      </c>
      <c r="H387">
        <v>4</v>
      </c>
      <c r="I387" s="2">
        <f>_xlfn.XLOOKUP(employee_data[[#This Row],[Job_Title]],market_benchmarks[Job_Title],market_benchmarks[Market_Median],"Not Found")</f>
        <v>68000</v>
      </c>
      <c r="J387" s="3">
        <f>employee_data[[#This Row],[Current_Salary]]/employee_data[[#This Row],[Market_Median]]</f>
        <v>1.1499999999999999</v>
      </c>
      <c r="K387" s="2">
        <f>employee_data[[#This Row],[Current_Salary]]-employee_data[[#This Row],[Market_Median]]</f>
        <v>10200</v>
      </c>
      <c r="L387" s="3">
        <f>(employee_data[[#This Row],[Current_Salary]]-employee_data[[#This Row],[Market_Median]])/employee_data[[#This Row],[Market_Median]]</f>
        <v>0.15</v>
      </c>
      <c r="M387" t="str" cm="1">
        <f t="array" ref="M38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88" spans="1:13" x14ac:dyDescent="0.3">
      <c r="A388" s="1" t="s">
        <v>422</v>
      </c>
      <c r="B388" s="1" t="s">
        <v>9</v>
      </c>
      <c r="C388" s="1" t="s">
        <v>60</v>
      </c>
      <c r="D388" s="1" t="s">
        <v>32</v>
      </c>
      <c r="E388" s="1" t="s">
        <v>12</v>
      </c>
      <c r="F388">
        <v>8</v>
      </c>
      <c r="G388" s="2">
        <v>79700</v>
      </c>
      <c r="H388">
        <v>3</v>
      </c>
      <c r="I388" s="2">
        <f>_xlfn.XLOOKUP(employee_data[[#This Row],[Job_Title]],market_benchmarks[Job_Title],market_benchmarks[Market_Median],"Not Found")</f>
        <v>78000</v>
      </c>
      <c r="J388" s="3">
        <f>employee_data[[#This Row],[Current_Salary]]/employee_data[[#This Row],[Market_Median]]</f>
        <v>1.0217948717948717</v>
      </c>
      <c r="K388" s="2">
        <f>employee_data[[#This Row],[Current_Salary]]-employee_data[[#This Row],[Market_Median]]</f>
        <v>1700</v>
      </c>
      <c r="L388" s="3">
        <f>(employee_data[[#This Row],[Current_Salary]]-employee_data[[#This Row],[Market_Median]])/employee_data[[#This Row],[Market_Median]]</f>
        <v>2.1794871794871794E-2</v>
      </c>
      <c r="M388" t="str" cm="1">
        <f t="array" ref="M38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89" spans="1:13" x14ac:dyDescent="0.3">
      <c r="A389" s="1" t="s">
        <v>423</v>
      </c>
      <c r="B389" s="1" t="s">
        <v>38</v>
      </c>
      <c r="C389" s="1" t="s">
        <v>55</v>
      </c>
      <c r="D389" s="1" t="s">
        <v>11</v>
      </c>
      <c r="E389" s="1" t="s">
        <v>12</v>
      </c>
      <c r="F389">
        <v>0</v>
      </c>
      <c r="G389" s="2">
        <v>50000</v>
      </c>
      <c r="H389">
        <v>5</v>
      </c>
      <c r="I389" s="2">
        <f>_xlfn.XLOOKUP(employee_data[[#This Row],[Job_Title]],market_benchmarks[Job_Title],market_benchmarks[Market_Median],"Not Found")</f>
        <v>52000</v>
      </c>
      <c r="J389" s="3">
        <f>employee_data[[#This Row],[Current_Salary]]/employee_data[[#This Row],[Market_Median]]</f>
        <v>0.96153846153846156</v>
      </c>
      <c r="K389" s="2">
        <f>employee_data[[#This Row],[Current_Salary]]-employee_data[[#This Row],[Market_Median]]</f>
        <v>-2000</v>
      </c>
      <c r="L389" s="3">
        <f>(employee_data[[#This Row],[Current_Salary]]-employee_data[[#This Row],[Market_Median]])/employee_data[[#This Row],[Market_Median]]</f>
        <v>-3.8461538461538464E-2</v>
      </c>
      <c r="M389" t="str" cm="1">
        <f t="array" ref="M38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0" spans="1:13" x14ac:dyDescent="0.3">
      <c r="A390" s="1" t="s">
        <v>424</v>
      </c>
      <c r="B390" s="1" t="s">
        <v>22</v>
      </c>
      <c r="C390" s="1" t="s">
        <v>23</v>
      </c>
      <c r="D390" s="1" t="s">
        <v>11</v>
      </c>
      <c r="E390" s="1" t="s">
        <v>12</v>
      </c>
      <c r="F390">
        <v>13</v>
      </c>
      <c r="G390" s="2">
        <v>44900</v>
      </c>
      <c r="H390">
        <v>4</v>
      </c>
      <c r="I390" s="2">
        <f>_xlfn.XLOOKUP(employee_data[[#This Row],[Job_Title]],market_benchmarks[Job_Title],market_benchmarks[Market_Median],"Not Found")</f>
        <v>50000</v>
      </c>
      <c r="J390" s="3">
        <f>employee_data[[#This Row],[Current_Salary]]/employee_data[[#This Row],[Market_Median]]</f>
        <v>0.89800000000000002</v>
      </c>
      <c r="K390" s="2">
        <f>employee_data[[#This Row],[Current_Salary]]-employee_data[[#This Row],[Market_Median]]</f>
        <v>-5100</v>
      </c>
      <c r="L390" s="3">
        <f>(employee_data[[#This Row],[Current_Salary]]-employee_data[[#This Row],[Market_Median]])/employee_data[[#This Row],[Market_Median]]</f>
        <v>-0.10199999999999999</v>
      </c>
      <c r="M390" t="str" cm="1">
        <f t="array" ref="M39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91" spans="1:13" x14ac:dyDescent="0.3">
      <c r="A391" s="1" t="s">
        <v>425</v>
      </c>
      <c r="B391" s="1" t="s">
        <v>14</v>
      </c>
      <c r="C391" s="1" t="s">
        <v>48</v>
      </c>
      <c r="D391" s="1" t="s">
        <v>11</v>
      </c>
      <c r="E391" s="1" t="s">
        <v>12</v>
      </c>
      <c r="F391">
        <v>5</v>
      </c>
      <c r="G391" s="2">
        <v>52200</v>
      </c>
      <c r="H391">
        <v>2</v>
      </c>
      <c r="I391" s="2">
        <f>_xlfn.XLOOKUP(employee_data[[#This Row],[Job_Title]],market_benchmarks[Job_Title],market_benchmarks[Market_Median],"Not Found")</f>
        <v>50000</v>
      </c>
      <c r="J391" s="3">
        <f>employee_data[[#This Row],[Current_Salary]]/employee_data[[#This Row],[Market_Median]]</f>
        <v>1.044</v>
      </c>
      <c r="K391" s="2">
        <f>employee_data[[#This Row],[Current_Salary]]-employee_data[[#This Row],[Market_Median]]</f>
        <v>2200</v>
      </c>
      <c r="L391" s="3">
        <f>(employee_data[[#This Row],[Current_Salary]]-employee_data[[#This Row],[Market_Median]])/employee_data[[#This Row],[Market_Median]]</f>
        <v>4.3999999999999997E-2</v>
      </c>
      <c r="M391" t="str" cm="1">
        <f t="array" ref="M39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2" spans="1:13" x14ac:dyDescent="0.3">
      <c r="A392" s="1" t="s">
        <v>426</v>
      </c>
      <c r="B392" s="1" t="s">
        <v>18</v>
      </c>
      <c r="C392" s="1" t="s">
        <v>43</v>
      </c>
      <c r="D392" s="1" t="s">
        <v>32</v>
      </c>
      <c r="E392" s="1" t="s">
        <v>12</v>
      </c>
      <c r="F392">
        <v>7</v>
      </c>
      <c r="G392" s="2">
        <v>57000</v>
      </c>
      <c r="H392">
        <v>3</v>
      </c>
      <c r="I392" s="2">
        <f>_xlfn.XLOOKUP(employee_data[[#This Row],[Job_Title]],market_benchmarks[Job_Title],market_benchmarks[Market_Median],"Not Found")</f>
        <v>72000</v>
      </c>
      <c r="J392" s="3">
        <f>employee_data[[#This Row],[Current_Salary]]/employee_data[[#This Row],[Market_Median]]</f>
        <v>0.79166666666666663</v>
      </c>
      <c r="K392" s="2">
        <f>employee_data[[#This Row],[Current_Salary]]-employee_data[[#This Row],[Market_Median]]</f>
        <v>-15000</v>
      </c>
      <c r="L392" s="3">
        <f>(employee_data[[#This Row],[Current_Salary]]-employee_data[[#This Row],[Market_Median]])/employee_data[[#This Row],[Market_Median]]</f>
        <v>-0.20833333333333334</v>
      </c>
      <c r="M392" t="str" cm="1">
        <f t="array" ref="M392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393" spans="1:13" x14ac:dyDescent="0.3">
      <c r="A393" s="1" t="s">
        <v>427</v>
      </c>
      <c r="B393" s="1" t="s">
        <v>18</v>
      </c>
      <c r="C393" s="1" t="s">
        <v>28</v>
      </c>
      <c r="D393" s="1" t="s">
        <v>11</v>
      </c>
      <c r="E393" s="1" t="s">
        <v>12</v>
      </c>
      <c r="F393">
        <v>13</v>
      </c>
      <c r="G393" s="2">
        <v>49600</v>
      </c>
      <c r="H393">
        <v>4</v>
      </c>
      <c r="I393" s="2">
        <f>_xlfn.XLOOKUP(employee_data[[#This Row],[Job_Title]],market_benchmarks[Job_Title],market_benchmarks[Market_Median],"Not Found")</f>
        <v>52000</v>
      </c>
      <c r="J393" s="3">
        <f>employee_data[[#This Row],[Current_Salary]]/employee_data[[#This Row],[Market_Median]]</f>
        <v>0.9538461538461539</v>
      </c>
      <c r="K393" s="2">
        <f>employee_data[[#This Row],[Current_Salary]]-employee_data[[#This Row],[Market_Median]]</f>
        <v>-2400</v>
      </c>
      <c r="L393" s="3">
        <f>(employee_data[[#This Row],[Current_Salary]]-employee_data[[#This Row],[Market_Median]])/employee_data[[#This Row],[Market_Median]]</f>
        <v>-4.6153846153846156E-2</v>
      </c>
      <c r="M393" t="str" cm="1">
        <f t="array" ref="M39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4" spans="1:13" x14ac:dyDescent="0.3">
      <c r="A394" s="1" t="s">
        <v>428</v>
      </c>
      <c r="B394" s="1" t="s">
        <v>18</v>
      </c>
      <c r="C394" s="1" t="s">
        <v>19</v>
      </c>
      <c r="D394" s="1" t="s">
        <v>16</v>
      </c>
      <c r="E394" s="1" t="s">
        <v>12</v>
      </c>
      <c r="F394">
        <v>5</v>
      </c>
      <c r="G394" s="2">
        <v>85900</v>
      </c>
      <c r="H394">
        <v>1</v>
      </c>
      <c r="I394" s="2">
        <f>_xlfn.XLOOKUP(employee_data[[#This Row],[Job_Title]],market_benchmarks[Job_Title],market_benchmarks[Market_Median],"Not Found")</f>
        <v>90000</v>
      </c>
      <c r="J394" s="3">
        <f>employee_data[[#This Row],[Current_Salary]]/employee_data[[#This Row],[Market_Median]]</f>
        <v>0.95444444444444443</v>
      </c>
      <c r="K394" s="2">
        <f>employee_data[[#This Row],[Current_Salary]]-employee_data[[#This Row],[Market_Median]]</f>
        <v>-4100</v>
      </c>
      <c r="L394" s="3">
        <f>(employee_data[[#This Row],[Current_Salary]]-employee_data[[#This Row],[Market_Median]])/employee_data[[#This Row],[Market_Median]]</f>
        <v>-4.5555555555555557E-2</v>
      </c>
      <c r="M394" t="str" cm="1">
        <f t="array" ref="M39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5" spans="1:13" x14ac:dyDescent="0.3">
      <c r="A395" s="1" t="s">
        <v>429</v>
      </c>
      <c r="B395" s="1" t="s">
        <v>14</v>
      </c>
      <c r="C395" s="1" t="s">
        <v>15</v>
      </c>
      <c r="D395" s="1" t="s">
        <v>16</v>
      </c>
      <c r="E395" s="1" t="s">
        <v>12</v>
      </c>
      <c r="F395">
        <v>18</v>
      </c>
      <c r="G395" s="2">
        <v>76000</v>
      </c>
      <c r="H395">
        <v>3</v>
      </c>
      <c r="I395" s="2">
        <f>_xlfn.XLOOKUP(employee_data[[#This Row],[Job_Title]],market_benchmarks[Job_Title],market_benchmarks[Market_Median],"Not Found")</f>
        <v>82000</v>
      </c>
      <c r="J395" s="3">
        <f>employee_data[[#This Row],[Current_Salary]]/employee_data[[#This Row],[Market_Median]]</f>
        <v>0.92682926829268297</v>
      </c>
      <c r="K395" s="2">
        <f>employee_data[[#This Row],[Current_Salary]]-employee_data[[#This Row],[Market_Median]]</f>
        <v>-6000</v>
      </c>
      <c r="L395" s="3">
        <f>(employee_data[[#This Row],[Current_Salary]]-employee_data[[#This Row],[Market_Median]])/employee_data[[#This Row],[Market_Median]]</f>
        <v>-7.3170731707317069E-2</v>
      </c>
      <c r="M395" t="str" cm="1">
        <f t="array" ref="M39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96" spans="1:13" x14ac:dyDescent="0.3">
      <c r="A396" s="1" t="s">
        <v>430</v>
      </c>
      <c r="B396" s="1" t="s">
        <v>38</v>
      </c>
      <c r="C396" s="1" t="s">
        <v>39</v>
      </c>
      <c r="D396" s="1" t="s">
        <v>32</v>
      </c>
      <c r="E396" s="1" t="s">
        <v>12</v>
      </c>
      <c r="F396">
        <v>1</v>
      </c>
      <c r="G396" s="2">
        <v>71000</v>
      </c>
      <c r="H396">
        <v>3</v>
      </c>
      <c r="I396" s="2">
        <f>_xlfn.XLOOKUP(employee_data[[#This Row],[Job_Title]],market_benchmarks[Job_Title],market_benchmarks[Market_Median],"Not Found")</f>
        <v>70000</v>
      </c>
      <c r="J396" s="3">
        <f>employee_data[[#This Row],[Current_Salary]]/employee_data[[#This Row],[Market_Median]]</f>
        <v>1.0142857142857142</v>
      </c>
      <c r="K396" s="2">
        <f>employee_data[[#This Row],[Current_Salary]]-employee_data[[#This Row],[Market_Median]]</f>
        <v>1000</v>
      </c>
      <c r="L396" s="3">
        <f>(employee_data[[#This Row],[Current_Salary]]-employee_data[[#This Row],[Market_Median]])/employee_data[[#This Row],[Market_Median]]</f>
        <v>1.4285714285714285E-2</v>
      </c>
      <c r="M396" t="str" cm="1">
        <f t="array" ref="M39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397" spans="1:13" x14ac:dyDescent="0.3">
      <c r="A397" s="1" t="s">
        <v>431</v>
      </c>
      <c r="B397" s="1" t="s">
        <v>30</v>
      </c>
      <c r="C397" s="1" t="s">
        <v>76</v>
      </c>
      <c r="D397" s="1" t="s">
        <v>16</v>
      </c>
      <c r="E397" s="1" t="s">
        <v>12</v>
      </c>
      <c r="F397">
        <v>18</v>
      </c>
      <c r="G397" s="2">
        <v>78300</v>
      </c>
      <c r="H397">
        <v>3</v>
      </c>
      <c r="I397" s="2">
        <f>_xlfn.XLOOKUP(employee_data[[#This Row],[Job_Title]],market_benchmarks[Job_Title],market_benchmarks[Market_Median],"Not Found")</f>
        <v>72000</v>
      </c>
      <c r="J397" s="3">
        <f>employee_data[[#This Row],[Current_Salary]]/employee_data[[#This Row],[Market_Median]]</f>
        <v>1.0874999999999999</v>
      </c>
      <c r="K397" s="2">
        <f>employee_data[[#This Row],[Current_Salary]]-employee_data[[#This Row],[Market_Median]]</f>
        <v>6300</v>
      </c>
      <c r="L397" s="3">
        <f>(employee_data[[#This Row],[Current_Salary]]-employee_data[[#This Row],[Market_Median]])/employee_data[[#This Row],[Market_Median]]</f>
        <v>8.7499999999999994E-2</v>
      </c>
      <c r="M397" t="str" cm="1">
        <f t="array" ref="M39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398" spans="1:13" x14ac:dyDescent="0.3">
      <c r="A398" s="1" t="s">
        <v>432</v>
      </c>
      <c r="B398" s="1" t="s">
        <v>18</v>
      </c>
      <c r="C398" s="1" t="s">
        <v>28</v>
      </c>
      <c r="D398" s="1" t="s">
        <v>11</v>
      </c>
      <c r="E398" s="1" t="s">
        <v>12</v>
      </c>
      <c r="F398">
        <v>13</v>
      </c>
      <c r="G398" s="2">
        <v>47400</v>
      </c>
      <c r="H398">
        <v>2</v>
      </c>
      <c r="I398" s="2">
        <f>_xlfn.XLOOKUP(employee_data[[#This Row],[Job_Title]],market_benchmarks[Job_Title],market_benchmarks[Market_Median],"Not Found")</f>
        <v>52000</v>
      </c>
      <c r="J398" s="3">
        <f>employee_data[[#This Row],[Current_Salary]]/employee_data[[#This Row],[Market_Median]]</f>
        <v>0.91153846153846152</v>
      </c>
      <c r="K398" s="2">
        <f>employee_data[[#This Row],[Current_Salary]]-employee_data[[#This Row],[Market_Median]]</f>
        <v>-4600</v>
      </c>
      <c r="L398" s="3">
        <f>(employee_data[[#This Row],[Current_Salary]]-employee_data[[#This Row],[Market_Median]])/employee_data[[#This Row],[Market_Median]]</f>
        <v>-8.8461538461538466E-2</v>
      </c>
      <c r="M398" t="str" cm="1">
        <f t="array" ref="M39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399" spans="1:13" x14ac:dyDescent="0.3">
      <c r="A399" s="1" t="s">
        <v>433</v>
      </c>
      <c r="B399" s="1" t="s">
        <v>9</v>
      </c>
      <c r="C399" s="1" t="s">
        <v>25</v>
      </c>
      <c r="D399" s="1" t="s">
        <v>16</v>
      </c>
      <c r="E399" s="1" t="s">
        <v>12</v>
      </c>
      <c r="F399">
        <v>7</v>
      </c>
      <c r="G399" s="2">
        <v>94800</v>
      </c>
      <c r="H399">
        <v>4</v>
      </c>
      <c r="I399" s="2">
        <f>_xlfn.XLOOKUP(employee_data[[#This Row],[Job_Title]],market_benchmarks[Job_Title],market_benchmarks[Market_Median],"Not Found")</f>
        <v>98000</v>
      </c>
      <c r="J399" s="3">
        <f>employee_data[[#This Row],[Current_Salary]]/employee_data[[#This Row],[Market_Median]]</f>
        <v>0.96734693877551026</v>
      </c>
      <c r="K399" s="2">
        <f>employee_data[[#This Row],[Current_Salary]]-employee_data[[#This Row],[Market_Median]]</f>
        <v>-3200</v>
      </c>
      <c r="L399" s="3">
        <f>(employee_data[[#This Row],[Current_Salary]]-employee_data[[#This Row],[Market_Median]])/employee_data[[#This Row],[Market_Median]]</f>
        <v>-3.2653061224489799E-2</v>
      </c>
      <c r="M399" t="str" cm="1">
        <f t="array" ref="M39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00" spans="1:13" x14ac:dyDescent="0.3">
      <c r="A400" s="1" t="s">
        <v>434</v>
      </c>
      <c r="B400" s="1" t="s">
        <v>9</v>
      </c>
      <c r="C400" s="1" t="s">
        <v>10</v>
      </c>
      <c r="D400" s="1" t="s">
        <v>11</v>
      </c>
      <c r="E400" s="1" t="s">
        <v>12</v>
      </c>
      <c r="F400">
        <v>19</v>
      </c>
      <c r="G400" s="2">
        <v>57800</v>
      </c>
      <c r="H400">
        <v>4</v>
      </c>
      <c r="I400" s="2">
        <f>_xlfn.XLOOKUP(employee_data[[#This Row],[Job_Title]],market_benchmarks[Job_Title],market_benchmarks[Market_Median],"Not Found")</f>
        <v>58000</v>
      </c>
      <c r="J400" s="3">
        <f>employee_data[[#This Row],[Current_Salary]]/employee_data[[#This Row],[Market_Median]]</f>
        <v>0.99655172413793103</v>
      </c>
      <c r="K400" s="2">
        <f>employee_data[[#This Row],[Current_Salary]]-employee_data[[#This Row],[Market_Median]]</f>
        <v>-200</v>
      </c>
      <c r="L400" s="3">
        <f>(employee_data[[#This Row],[Current_Salary]]-employee_data[[#This Row],[Market_Median]])/employee_data[[#This Row],[Market_Median]]</f>
        <v>-3.4482758620689655E-3</v>
      </c>
      <c r="M400" t="str" cm="1">
        <f t="array" ref="M40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01" spans="1:13" x14ac:dyDescent="0.3">
      <c r="A401" s="1" t="s">
        <v>435</v>
      </c>
      <c r="B401" s="1" t="s">
        <v>18</v>
      </c>
      <c r="C401" s="1" t="s">
        <v>19</v>
      </c>
      <c r="D401" s="1" t="s">
        <v>16</v>
      </c>
      <c r="E401" s="1" t="s">
        <v>12</v>
      </c>
      <c r="F401">
        <v>2</v>
      </c>
      <c r="G401" s="2">
        <v>92100</v>
      </c>
      <c r="H401">
        <v>3</v>
      </c>
      <c r="I401" s="2">
        <f>_xlfn.XLOOKUP(employee_data[[#This Row],[Job_Title]],market_benchmarks[Job_Title],market_benchmarks[Market_Median],"Not Found")</f>
        <v>90000</v>
      </c>
      <c r="J401" s="3">
        <f>employee_data[[#This Row],[Current_Salary]]/employee_data[[#This Row],[Market_Median]]</f>
        <v>1.0233333333333334</v>
      </c>
      <c r="K401" s="2">
        <f>employee_data[[#This Row],[Current_Salary]]-employee_data[[#This Row],[Market_Median]]</f>
        <v>2100</v>
      </c>
      <c r="L401" s="3">
        <f>(employee_data[[#This Row],[Current_Salary]]-employee_data[[#This Row],[Market_Median]])/employee_data[[#This Row],[Market_Median]]</f>
        <v>2.3333333333333334E-2</v>
      </c>
      <c r="M401" t="str" cm="1">
        <f t="array" ref="M40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02" spans="1:13" x14ac:dyDescent="0.3">
      <c r="A402" s="1" t="s">
        <v>436</v>
      </c>
      <c r="B402" s="1" t="s">
        <v>9</v>
      </c>
      <c r="C402" s="1" t="s">
        <v>60</v>
      </c>
      <c r="D402" s="1" t="s">
        <v>32</v>
      </c>
      <c r="E402" s="1" t="s">
        <v>12</v>
      </c>
      <c r="F402">
        <v>13</v>
      </c>
      <c r="G402" s="2">
        <v>77400</v>
      </c>
      <c r="H402">
        <v>3</v>
      </c>
      <c r="I402" s="2">
        <f>_xlfn.XLOOKUP(employee_data[[#This Row],[Job_Title]],market_benchmarks[Job_Title],market_benchmarks[Market_Median],"Not Found")</f>
        <v>78000</v>
      </c>
      <c r="J402" s="3">
        <f>employee_data[[#This Row],[Current_Salary]]/employee_data[[#This Row],[Market_Median]]</f>
        <v>0.99230769230769234</v>
      </c>
      <c r="K402" s="2">
        <f>employee_data[[#This Row],[Current_Salary]]-employee_data[[#This Row],[Market_Median]]</f>
        <v>-600</v>
      </c>
      <c r="L402" s="3">
        <f>(employee_data[[#This Row],[Current_Salary]]-employee_data[[#This Row],[Market_Median]])/employee_data[[#This Row],[Market_Median]]</f>
        <v>-7.6923076923076927E-3</v>
      </c>
      <c r="M402" t="str" cm="1">
        <f t="array" ref="M40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03" spans="1:13" x14ac:dyDescent="0.3">
      <c r="A403" s="1" t="s">
        <v>437</v>
      </c>
      <c r="B403" s="1" t="s">
        <v>38</v>
      </c>
      <c r="C403" s="1" t="s">
        <v>39</v>
      </c>
      <c r="D403" s="1" t="s">
        <v>32</v>
      </c>
      <c r="E403" s="1" t="s">
        <v>12</v>
      </c>
      <c r="F403">
        <v>20</v>
      </c>
      <c r="G403" s="2">
        <v>65800</v>
      </c>
      <c r="H403">
        <v>1</v>
      </c>
      <c r="I403" s="2">
        <f>_xlfn.XLOOKUP(employee_data[[#This Row],[Job_Title]],market_benchmarks[Job_Title],market_benchmarks[Market_Median],"Not Found")</f>
        <v>70000</v>
      </c>
      <c r="J403" s="3">
        <f>employee_data[[#This Row],[Current_Salary]]/employee_data[[#This Row],[Market_Median]]</f>
        <v>0.94</v>
      </c>
      <c r="K403" s="2">
        <f>employee_data[[#This Row],[Current_Salary]]-employee_data[[#This Row],[Market_Median]]</f>
        <v>-4200</v>
      </c>
      <c r="L403" s="3">
        <f>(employee_data[[#This Row],[Current_Salary]]-employee_data[[#This Row],[Market_Median]])/employee_data[[#This Row],[Market_Median]]</f>
        <v>-0.06</v>
      </c>
      <c r="M403" t="str" cm="1">
        <f t="array" ref="M40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04" spans="1:13" x14ac:dyDescent="0.3">
      <c r="A404" s="1" t="s">
        <v>438</v>
      </c>
      <c r="B404" s="1" t="s">
        <v>18</v>
      </c>
      <c r="C404" s="1" t="s">
        <v>43</v>
      </c>
      <c r="D404" s="1" t="s">
        <v>32</v>
      </c>
      <c r="E404" s="1" t="s">
        <v>12</v>
      </c>
      <c r="F404">
        <v>6</v>
      </c>
      <c r="G404" s="2">
        <v>75100</v>
      </c>
      <c r="H404">
        <v>3</v>
      </c>
      <c r="I404" s="2">
        <f>_xlfn.XLOOKUP(employee_data[[#This Row],[Job_Title]],market_benchmarks[Job_Title],market_benchmarks[Market_Median],"Not Found")</f>
        <v>72000</v>
      </c>
      <c r="J404" s="3">
        <f>employee_data[[#This Row],[Current_Salary]]/employee_data[[#This Row],[Market_Median]]</f>
        <v>1.0430555555555556</v>
      </c>
      <c r="K404" s="2">
        <f>employee_data[[#This Row],[Current_Salary]]-employee_data[[#This Row],[Market_Median]]</f>
        <v>3100</v>
      </c>
      <c r="L404" s="3">
        <f>(employee_data[[#This Row],[Current_Salary]]-employee_data[[#This Row],[Market_Median]])/employee_data[[#This Row],[Market_Median]]</f>
        <v>4.3055555555555555E-2</v>
      </c>
      <c r="M404" t="str" cm="1">
        <f t="array" ref="M40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05" spans="1:13" x14ac:dyDescent="0.3">
      <c r="A405" s="1" t="s">
        <v>439</v>
      </c>
      <c r="B405" s="1" t="s">
        <v>18</v>
      </c>
      <c r="C405" s="1" t="s">
        <v>28</v>
      </c>
      <c r="D405" s="1" t="s">
        <v>11</v>
      </c>
      <c r="E405" s="1" t="s">
        <v>12</v>
      </c>
      <c r="F405">
        <v>20</v>
      </c>
      <c r="G405" s="2">
        <v>46800</v>
      </c>
      <c r="H405">
        <v>4</v>
      </c>
      <c r="I405" s="2">
        <f>_xlfn.XLOOKUP(employee_data[[#This Row],[Job_Title]],market_benchmarks[Job_Title],market_benchmarks[Market_Median],"Not Found")</f>
        <v>52000</v>
      </c>
      <c r="J405" s="3">
        <f>employee_data[[#This Row],[Current_Salary]]/employee_data[[#This Row],[Market_Median]]</f>
        <v>0.9</v>
      </c>
      <c r="K405" s="2">
        <f>employee_data[[#This Row],[Current_Salary]]-employee_data[[#This Row],[Market_Median]]</f>
        <v>-5200</v>
      </c>
      <c r="L405" s="3">
        <f>(employee_data[[#This Row],[Current_Salary]]-employee_data[[#This Row],[Market_Median]])/employee_data[[#This Row],[Market_Median]]</f>
        <v>-0.1</v>
      </c>
      <c r="M405" t="str" cm="1">
        <f t="array" ref="M40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06" spans="1:13" x14ac:dyDescent="0.3">
      <c r="A406" s="1" t="s">
        <v>440</v>
      </c>
      <c r="B406" s="1" t="s">
        <v>18</v>
      </c>
      <c r="C406" s="1" t="s">
        <v>28</v>
      </c>
      <c r="D406" s="1" t="s">
        <v>11</v>
      </c>
      <c r="E406" s="1" t="s">
        <v>12</v>
      </c>
      <c r="F406">
        <v>2</v>
      </c>
      <c r="G406" s="2">
        <v>49300</v>
      </c>
      <c r="H406">
        <v>3</v>
      </c>
      <c r="I406" s="2">
        <f>_xlfn.XLOOKUP(employee_data[[#This Row],[Job_Title]],market_benchmarks[Job_Title],market_benchmarks[Market_Median],"Not Found")</f>
        <v>52000</v>
      </c>
      <c r="J406" s="3">
        <f>employee_data[[#This Row],[Current_Salary]]/employee_data[[#This Row],[Market_Median]]</f>
        <v>0.94807692307692304</v>
      </c>
      <c r="K406" s="2">
        <f>employee_data[[#This Row],[Current_Salary]]-employee_data[[#This Row],[Market_Median]]</f>
        <v>-2700</v>
      </c>
      <c r="L406" s="3">
        <f>(employee_data[[#This Row],[Current_Salary]]-employee_data[[#This Row],[Market_Median]])/employee_data[[#This Row],[Market_Median]]</f>
        <v>-5.1923076923076926E-2</v>
      </c>
      <c r="M406" t="str" cm="1">
        <f t="array" ref="M40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07" spans="1:13" x14ac:dyDescent="0.3">
      <c r="A407" s="1" t="s">
        <v>441</v>
      </c>
      <c r="B407" s="1" t="s">
        <v>18</v>
      </c>
      <c r="C407" s="1" t="s">
        <v>43</v>
      </c>
      <c r="D407" s="1" t="s">
        <v>32</v>
      </c>
      <c r="E407" s="1" t="s">
        <v>12</v>
      </c>
      <c r="F407">
        <v>3</v>
      </c>
      <c r="G407" s="2">
        <v>84400</v>
      </c>
      <c r="H407">
        <v>4</v>
      </c>
      <c r="I407" s="2">
        <f>_xlfn.XLOOKUP(employee_data[[#This Row],[Job_Title]],market_benchmarks[Job_Title],market_benchmarks[Market_Median],"Not Found")</f>
        <v>72000</v>
      </c>
      <c r="J407" s="3">
        <f>employee_data[[#This Row],[Current_Salary]]/employee_data[[#This Row],[Market_Median]]</f>
        <v>1.1722222222222223</v>
      </c>
      <c r="K407" s="2">
        <f>employee_data[[#This Row],[Current_Salary]]-employee_data[[#This Row],[Market_Median]]</f>
        <v>12400</v>
      </c>
      <c r="L407" s="3">
        <f>(employee_data[[#This Row],[Current_Salary]]-employee_data[[#This Row],[Market_Median]])/employee_data[[#This Row],[Market_Median]]</f>
        <v>0.17222222222222222</v>
      </c>
      <c r="M407" t="str" cm="1">
        <f t="array" ref="M40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08" spans="1:13" x14ac:dyDescent="0.3">
      <c r="A408" s="1" t="s">
        <v>442</v>
      </c>
      <c r="B408" s="1" t="s">
        <v>9</v>
      </c>
      <c r="C408" s="1" t="s">
        <v>60</v>
      </c>
      <c r="D408" s="1" t="s">
        <v>32</v>
      </c>
      <c r="E408" s="1" t="s">
        <v>12</v>
      </c>
      <c r="F408">
        <v>7</v>
      </c>
      <c r="G408" s="2">
        <v>82000</v>
      </c>
      <c r="H408">
        <v>4</v>
      </c>
      <c r="I408" s="2">
        <f>_xlfn.XLOOKUP(employee_data[[#This Row],[Job_Title]],market_benchmarks[Job_Title],market_benchmarks[Market_Median],"Not Found")</f>
        <v>78000</v>
      </c>
      <c r="J408" s="3">
        <f>employee_data[[#This Row],[Current_Salary]]/employee_data[[#This Row],[Market_Median]]</f>
        <v>1.0512820512820513</v>
      </c>
      <c r="K408" s="2">
        <f>employee_data[[#This Row],[Current_Salary]]-employee_data[[#This Row],[Market_Median]]</f>
        <v>4000</v>
      </c>
      <c r="L408" s="3">
        <f>(employee_data[[#This Row],[Current_Salary]]-employee_data[[#This Row],[Market_Median]])/employee_data[[#This Row],[Market_Median]]</f>
        <v>5.128205128205128E-2</v>
      </c>
      <c r="M408" t="str" cm="1">
        <f t="array" ref="M408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09" spans="1:13" x14ac:dyDescent="0.3">
      <c r="A409" s="1" t="s">
        <v>443</v>
      </c>
      <c r="B409" s="1" t="s">
        <v>38</v>
      </c>
      <c r="C409" s="1" t="s">
        <v>55</v>
      </c>
      <c r="D409" s="1" t="s">
        <v>11</v>
      </c>
      <c r="E409" s="1" t="s">
        <v>12</v>
      </c>
      <c r="F409">
        <v>9</v>
      </c>
      <c r="G409" s="2">
        <v>51100</v>
      </c>
      <c r="H409">
        <v>4</v>
      </c>
      <c r="I409" s="2">
        <f>_xlfn.XLOOKUP(employee_data[[#This Row],[Job_Title]],market_benchmarks[Job_Title],market_benchmarks[Market_Median],"Not Found")</f>
        <v>52000</v>
      </c>
      <c r="J409" s="3">
        <f>employee_data[[#This Row],[Current_Salary]]/employee_data[[#This Row],[Market_Median]]</f>
        <v>0.98269230769230764</v>
      </c>
      <c r="K409" s="2">
        <f>employee_data[[#This Row],[Current_Salary]]-employee_data[[#This Row],[Market_Median]]</f>
        <v>-900</v>
      </c>
      <c r="L409" s="3">
        <f>(employee_data[[#This Row],[Current_Salary]]-employee_data[[#This Row],[Market_Median]])/employee_data[[#This Row],[Market_Median]]</f>
        <v>-1.7307692307692309E-2</v>
      </c>
      <c r="M409" t="str" cm="1">
        <f t="array" ref="M40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10" spans="1:13" x14ac:dyDescent="0.3">
      <c r="A410" s="1" t="s">
        <v>444</v>
      </c>
      <c r="B410" s="1" t="s">
        <v>30</v>
      </c>
      <c r="C410" s="1" t="s">
        <v>53</v>
      </c>
      <c r="D410" s="1" t="s">
        <v>11</v>
      </c>
      <c r="E410" s="1" t="s">
        <v>12</v>
      </c>
      <c r="F410">
        <v>8</v>
      </c>
      <c r="G410" s="2">
        <v>47200</v>
      </c>
      <c r="H410">
        <v>5</v>
      </c>
      <c r="I410" s="2">
        <f>_xlfn.XLOOKUP(employee_data[[#This Row],[Job_Title]],market_benchmarks[Job_Title],market_benchmarks[Market_Median],"Not Found")</f>
        <v>48000</v>
      </c>
      <c r="J410" s="3">
        <f>employee_data[[#This Row],[Current_Salary]]/employee_data[[#This Row],[Market_Median]]</f>
        <v>0.98333333333333328</v>
      </c>
      <c r="K410" s="2">
        <f>employee_data[[#This Row],[Current_Salary]]-employee_data[[#This Row],[Market_Median]]</f>
        <v>-800</v>
      </c>
      <c r="L410" s="3">
        <f>(employee_data[[#This Row],[Current_Salary]]-employee_data[[#This Row],[Market_Median]])/employee_data[[#This Row],[Market_Median]]</f>
        <v>-1.6666666666666666E-2</v>
      </c>
      <c r="M410" t="str" cm="1">
        <f t="array" ref="M41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11" spans="1:13" x14ac:dyDescent="0.3">
      <c r="A411" s="1" t="s">
        <v>445</v>
      </c>
      <c r="B411" s="1" t="s">
        <v>9</v>
      </c>
      <c r="C411" s="1" t="s">
        <v>10</v>
      </c>
      <c r="D411" s="1" t="s">
        <v>11</v>
      </c>
      <c r="E411" s="1" t="s">
        <v>12</v>
      </c>
      <c r="F411">
        <v>10</v>
      </c>
      <c r="G411" s="2">
        <v>54100</v>
      </c>
      <c r="H411">
        <v>3</v>
      </c>
      <c r="I411" s="2">
        <f>_xlfn.XLOOKUP(employee_data[[#This Row],[Job_Title]],market_benchmarks[Job_Title],market_benchmarks[Market_Median],"Not Found")</f>
        <v>58000</v>
      </c>
      <c r="J411" s="3">
        <f>employee_data[[#This Row],[Current_Salary]]/employee_data[[#This Row],[Market_Median]]</f>
        <v>0.9327586206896552</v>
      </c>
      <c r="K411" s="2">
        <f>employee_data[[#This Row],[Current_Salary]]-employee_data[[#This Row],[Market_Median]]</f>
        <v>-3900</v>
      </c>
      <c r="L411" s="3">
        <f>(employee_data[[#This Row],[Current_Salary]]-employee_data[[#This Row],[Market_Median]])/employee_data[[#This Row],[Market_Median]]</f>
        <v>-6.7241379310344823E-2</v>
      </c>
      <c r="M411" t="str" cm="1">
        <f t="array" ref="M41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12" spans="1:13" x14ac:dyDescent="0.3">
      <c r="A412" s="1" t="s">
        <v>446</v>
      </c>
      <c r="B412" s="1" t="s">
        <v>14</v>
      </c>
      <c r="C412" s="1" t="s">
        <v>65</v>
      </c>
      <c r="D412" s="1" t="s">
        <v>32</v>
      </c>
      <c r="E412" s="1" t="s">
        <v>12</v>
      </c>
      <c r="F412">
        <v>7</v>
      </c>
      <c r="G412" s="2">
        <v>63800</v>
      </c>
      <c r="H412">
        <v>3</v>
      </c>
      <c r="I412" s="2">
        <f>_xlfn.XLOOKUP(employee_data[[#This Row],[Job_Title]],market_benchmarks[Job_Title],market_benchmarks[Market_Median],"Not Found")</f>
        <v>68000</v>
      </c>
      <c r="J412" s="3">
        <f>employee_data[[#This Row],[Current_Salary]]/employee_data[[#This Row],[Market_Median]]</f>
        <v>0.93823529411764706</v>
      </c>
      <c r="K412" s="2">
        <f>employee_data[[#This Row],[Current_Salary]]-employee_data[[#This Row],[Market_Median]]</f>
        <v>-4200</v>
      </c>
      <c r="L412" s="3">
        <f>(employee_data[[#This Row],[Current_Salary]]-employee_data[[#This Row],[Market_Median]])/employee_data[[#This Row],[Market_Median]]</f>
        <v>-6.1764705882352944E-2</v>
      </c>
      <c r="M412" t="str" cm="1">
        <f t="array" ref="M41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13" spans="1:13" x14ac:dyDescent="0.3">
      <c r="A413" s="1" t="s">
        <v>447</v>
      </c>
      <c r="B413" s="1" t="s">
        <v>18</v>
      </c>
      <c r="C413" s="1" t="s">
        <v>19</v>
      </c>
      <c r="D413" s="1" t="s">
        <v>16</v>
      </c>
      <c r="E413" s="1" t="s">
        <v>12</v>
      </c>
      <c r="F413">
        <v>4</v>
      </c>
      <c r="G413" s="2">
        <v>94300</v>
      </c>
      <c r="H413">
        <v>4</v>
      </c>
      <c r="I413" s="2">
        <f>_xlfn.XLOOKUP(employee_data[[#This Row],[Job_Title]],market_benchmarks[Job_Title],market_benchmarks[Market_Median],"Not Found")</f>
        <v>90000</v>
      </c>
      <c r="J413" s="3">
        <f>employee_data[[#This Row],[Current_Salary]]/employee_data[[#This Row],[Market_Median]]</f>
        <v>1.0477777777777777</v>
      </c>
      <c r="K413" s="2">
        <f>employee_data[[#This Row],[Current_Salary]]-employee_data[[#This Row],[Market_Median]]</f>
        <v>4300</v>
      </c>
      <c r="L413" s="3">
        <f>(employee_data[[#This Row],[Current_Salary]]-employee_data[[#This Row],[Market_Median]])/employee_data[[#This Row],[Market_Median]]</f>
        <v>4.777777777777778E-2</v>
      </c>
      <c r="M413" t="str" cm="1">
        <f t="array" ref="M41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14" spans="1:13" x14ac:dyDescent="0.3">
      <c r="A414" s="1" t="s">
        <v>448</v>
      </c>
      <c r="B414" s="1" t="s">
        <v>30</v>
      </c>
      <c r="C414" s="1" t="s">
        <v>76</v>
      </c>
      <c r="D414" s="1" t="s">
        <v>16</v>
      </c>
      <c r="E414" s="1" t="s">
        <v>12</v>
      </c>
      <c r="F414">
        <v>4</v>
      </c>
      <c r="G414" s="2">
        <v>76300</v>
      </c>
      <c r="H414">
        <v>1</v>
      </c>
      <c r="I414" s="2">
        <f>_xlfn.XLOOKUP(employee_data[[#This Row],[Job_Title]],market_benchmarks[Job_Title],market_benchmarks[Market_Median],"Not Found")</f>
        <v>72000</v>
      </c>
      <c r="J414" s="3">
        <f>employee_data[[#This Row],[Current_Salary]]/employee_data[[#This Row],[Market_Median]]</f>
        <v>1.0597222222222222</v>
      </c>
      <c r="K414" s="2">
        <f>employee_data[[#This Row],[Current_Salary]]-employee_data[[#This Row],[Market_Median]]</f>
        <v>4300</v>
      </c>
      <c r="L414" s="3">
        <f>(employee_data[[#This Row],[Current_Salary]]-employee_data[[#This Row],[Market_Median]])/employee_data[[#This Row],[Market_Median]]</f>
        <v>5.9722222222222225E-2</v>
      </c>
      <c r="M414" t="str" cm="1">
        <f t="array" ref="M41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15" spans="1:13" x14ac:dyDescent="0.3">
      <c r="A415" s="1" t="s">
        <v>449</v>
      </c>
      <c r="B415" s="1" t="s">
        <v>14</v>
      </c>
      <c r="C415" s="1" t="s">
        <v>48</v>
      </c>
      <c r="D415" s="1" t="s">
        <v>11</v>
      </c>
      <c r="E415" s="1" t="s">
        <v>12</v>
      </c>
      <c r="F415">
        <v>4</v>
      </c>
      <c r="G415" s="2">
        <v>50400</v>
      </c>
      <c r="H415">
        <v>3</v>
      </c>
      <c r="I415" s="2">
        <f>_xlfn.XLOOKUP(employee_data[[#This Row],[Job_Title]],market_benchmarks[Job_Title],market_benchmarks[Market_Median],"Not Found")</f>
        <v>50000</v>
      </c>
      <c r="J415" s="3">
        <f>employee_data[[#This Row],[Current_Salary]]/employee_data[[#This Row],[Market_Median]]</f>
        <v>1.008</v>
      </c>
      <c r="K415" s="2">
        <f>employee_data[[#This Row],[Current_Salary]]-employee_data[[#This Row],[Market_Median]]</f>
        <v>400</v>
      </c>
      <c r="L415" s="3">
        <f>(employee_data[[#This Row],[Current_Salary]]-employee_data[[#This Row],[Market_Median]])/employee_data[[#This Row],[Market_Median]]</f>
        <v>8.0000000000000002E-3</v>
      </c>
      <c r="M415" t="str" cm="1">
        <f t="array" ref="M41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16" spans="1:13" x14ac:dyDescent="0.3">
      <c r="A416" s="1" t="s">
        <v>450</v>
      </c>
      <c r="B416" s="1" t="s">
        <v>38</v>
      </c>
      <c r="C416" s="1" t="s">
        <v>96</v>
      </c>
      <c r="D416" s="1" t="s">
        <v>16</v>
      </c>
      <c r="E416" s="1" t="s">
        <v>12</v>
      </c>
      <c r="F416">
        <v>13</v>
      </c>
      <c r="G416" s="2">
        <v>78200</v>
      </c>
      <c r="H416">
        <v>5</v>
      </c>
      <c r="I416" s="2">
        <f>_xlfn.XLOOKUP(employee_data[[#This Row],[Job_Title]],market_benchmarks[Job_Title],market_benchmarks[Market_Median],"Not Found")</f>
        <v>88000</v>
      </c>
      <c r="J416" s="3">
        <f>employee_data[[#This Row],[Current_Salary]]/employee_data[[#This Row],[Market_Median]]</f>
        <v>0.88863636363636367</v>
      </c>
      <c r="K416" s="2">
        <f>employee_data[[#This Row],[Current_Salary]]-employee_data[[#This Row],[Market_Median]]</f>
        <v>-9800</v>
      </c>
      <c r="L416" s="3">
        <f>(employee_data[[#This Row],[Current_Salary]]-employee_data[[#This Row],[Market_Median]])/employee_data[[#This Row],[Market_Median]]</f>
        <v>-0.11136363636363636</v>
      </c>
      <c r="M416" t="str" cm="1">
        <f t="array" ref="M41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17" spans="1:13" x14ac:dyDescent="0.3">
      <c r="A417" s="1" t="s">
        <v>451</v>
      </c>
      <c r="B417" s="1" t="s">
        <v>38</v>
      </c>
      <c r="C417" s="1" t="s">
        <v>55</v>
      </c>
      <c r="D417" s="1" t="s">
        <v>11</v>
      </c>
      <c r="E417" s="1" t="s">
        <v>12</v>
      </c>
      <c r="F417">
        <v>4</v>
      </c>
      <c r="G417" s="2">
        <v>55600</v>
      </c>
      <c r="H417">
        <v>4</v>
      </c>
      <c r="I417" s="2">
        <f>_xlfn.XLOOKUP(employee_data[[#This Row],[Job_Title]],market_benchmarks[Job_Title],market_benchmarks[Market_Median],"Not Found")</f>
        <v>52000</v>
      </c>
      <c r="J417" s="3">
        <f>employee_data[[#This Row],[Current_Salary]]/employee_data[[#This Row],[Market_Median]]</f>
        <v>1.0692307692307692</v>
      </c>
      <c r="K417" s="2">
        <f>employee_data[[#This Row],[Current_Salary]]-employee_data[[#This Row],[Market_Median]]</f>
        <v>3600</v>
      </c>
      <c r="L417" s="3">
        <f>(employee_data[[#This Row],[Current_Salary]]-employee_data[[#This Row],[Market_Median]])/employee_data[[#This Row],[Market_Median]]</f>
        <v>6.9230769230769235E-2</v>
      </c>
      <c r="M417" t="str" cm="1">
        <f t="array" ref="M41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18" spans="1:13" x14ac:dyDescent="0.3">
      <c r="A418" s="1" t="s">
        <v>452</v>
      </c>
      <c r="B418" s="1" t="s">
        <v>38</v>
      </c>
      <c r="C418" s="1" t="s">
        <v>39</v>
      </c>
      <c r="D418" s="1" t="s">
        <v>32</v>
      </c>
      <c r="E418" s="1" t="s">
        <v>12</v>
      </c>
      <c r="F418">
        <v>14</v>
      </c>
      <c r="G418" s="2">
        <v>70700</v>
      </c>
      <c r="H418">
        <v>2</v>
      </c>
      <c r="I418" s="2">
        <f>_xlfn.XLOOKUP(employee_data[[#This Row],[Job_Title]],market_benchmarks[Job_Title],market_benchmarks[Market_Median],"Not Found")</f>
        <v>70000</v>
      </c>
      <c r="J418" s="3">
        <f>employee_data[[#This Row],[Current_Salary]]/employee_data[[#This Row],[Market_Median]]</f>
        <v>1.01</v>
      </c>
      <c r="K418" s="2">
        <f>employee_data[[#This Row],[Current_Salary]]-employee_data[[#This Row],[Market_Median]]</f>
        <v>700</v>
      </c>
      <c r="L418" s="3">
        <f>(employee_data[[#This Row],[Current_Salary]]-employee_data[[#This Row],[Market_Median]])/employee_data[[#This Row],[Market_Median]]</f>
        <v>0.01</v>
      </c>
      <c r="M418" t="str" cm="1">
        <f t="array" ref="M41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19" spans="1:13" x14ac:dyDescent="0.3">
      <c r="A419" s="1" t="s">
        <v>453</v>
      </c>
      <c r="B419" s="1" t="s">
        <v>38</v>
      </c>
      <c r="C419" s="1" t="s">
        <v>96</v>
      </c>
      <c r="D419" s="1" t="s">
        <v>16</v>
      </c>
      <c r="E419" s="1" t="s">
        <v>12</v>
      </c>
      <c r="F419">
        <v>17</v>
      </c>
      <c r="G419" s="2">
        <v>95100</v>
      </c>
      <c r="H419">
        <v>1</v>
      </c>
      <c r="I419" s="2">
        <f>_xlfn.XLOOKUP(employee_data[[#This Row],[Job_Title]],market_benchmarks[Job_Title],market_benchmarks[Market_Median],"Not Found")</f>
        <v>88000</v>
      </c>
      <c r="J419" s="3">
        <f>employee_data[[#This Row],[Current_Salary]]/employee_data[[#This Row],[Market_Median]]</f>
        <v>1.0806818181818181</v>
      </c>
      <c r="K419" s="2">
        <f>employee_data[[#This Row],[Current_Salary]]-employee_data[[#This Row],[Market_Median]]</f>
        <v>7100</v>
      </c>
      <c r="L419" s="3">
        <f>(employee_data[[#This Row],[Current_Salary]]-employee_data[[#This Row],[Market_Median]])/employee_data[[#This Row],[Market_Median]]</f>
        <v>8.0681818181818188E-2</v>
      </c>
      <c r="M419" t="str" cm="1">
        <f t="array" ref="M41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20" spans="1:13" x14ac:dyDescent="0.3">
      <c r="A420" s="1" t="s">
        <v>454</v>
      </c>
      <c r="B420" s="1" t="s">
        <v>9</v>
      </c>
      <c r="C420" s="1" t="s">
        <v>60</v>
      </c>
      <c r="D420" s="1" t="s">
        <v>32</v>
      </c>
      <c r="E420" s="1" t="s">
        <v>12</v>
      </c>
      <c r="F420">
        <v>3</v>
      </c>
      <c r="G420" s="2">
        <v>77700</v>
      </c>
      <c r="H420">
        <v>4</v>
      </c>
      <c r="I420" s="2">
        <f>_xlfn.XLOOKUP(employee_data[[#This Row],[Job_Title]],market_benchmarks[Job_Title],market_benchmarks[Market_Median],"Not Found")</f>
        <v>78000</v>
      </c>
      <c r="J420" s="3">
        <f>employee_data[[#This Row],[Current_Salary]]/employee_data[[#This Row],[Market_Median]]</f>
        <v>0.99615384615384617</v>
      </c>
      <c r="K420" s="2">
        <f>employee_data[[#This Row],[Current_Salary]]-employee_data[[#This Row],[Market_Median]]</f>
        <v>-300</v>
      </c>
      <c r="L420" s="3">
        <f>(employee_data[[#This Row],[Current_Salary]]-employee_data[[#This Row],[Market_Median]])/employee_data[[#This Row],[Market_Median]]</f>
        <v>-3.8461538461538464E-3</v>
      </c>
      <c r="M420" t="str" cm="1">
        <f t="array" ref="M42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21" spans="1:13" x14ac:dyDescent="0.3">
      <c r="A421" s="1" t="s">
        <v>455</v>
      </c>
      <c r="B421" s="1" t="s">
        <v>22</v>
      </c>
      <c r="C421" s="1" t="s">
        <v>41</v>
      </c>
      <c r="D421" s="1" t="s">
        <v>16</v>
      </c>
      <c r="E421" s="1" t="s">
        <v>12</v>
      </c>
      <c r="F421">
        <v>17</v>
      </c>
      <c r="G421" s="2">
        <v>99200</v>
      </c>
      <c r="H421">
        <v>3</v>
      </c>
      <c r="I421" s="2">
        <f>_xlfn.XLOOKUP(employee_data[[#This Row],[Job_Title]],market_benchmarks[Job_Title],market_benchmarks[Market_Median],"Not Found")</f>
        <v>85000</v>
      </c>
      <c r="J421" s="3">
        <f>employee_data[[#This Row],[Current_Salary]]/employee_data[[#This Row],[Market_Median]]</f>
        <v>1.1670588235294117</v>
      </c>
      <c r="K421" s="2">
        <f>employee_data[[#This Row],[Current_Salary]]-employee_data[[#This Row],[Market_Median]]</f>
        <v>14200</v>
      </c>
      <c r="L421" s="3">
        <f>(employee_data[[#This Row],[Current_Salary]]-employee_data[[#This Row],[Market_Median]])/employee_data[[#This Row],[Market_Median]]</f>
        <v>0.16705882352941176</v>
      </c>
      <c r="M421" t="str" cm="1">
        <f t="array" ref="M42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22" spans="1:13" x14ac:dyDescent="0.3">
      <c r="A422" s="1" t="s">
        <v>456</v>
      </c>
      <c r="B422" s="1" t="s">
        <v>9</v>
      </c>
      <c r="C422" s="1" t="s">
        <v>25</v>
      </c>
      <c r="D422" s="1" t="s">
        <v>16</v>
      </c>
      <c r="E422" s="1" t="s">
        <v>12</v>
      </c>
      <c r="F422">
        <v>7</v>
      </c>
      <c r="G422" s="2">
        <v>101200</v>
      </c>
      <c r="H422">
        <v>2</v>
      </c>
      <c r="I422" s="2">
        <f>_xlfn.XLOOKUP(employee_data[[#This Row],[Job_Title]],market_benchmarks[Job_Title],market_benchmarks[Market_Median],"Not Found")</f>
        <v>98000</v>
      </c>
      <c r="J422" s="3">
        <f>employee_data[[#This Row],[Current_Salary]]/employee_data[[#This Row],[Market_Median]]</f>
        <v>1.0326530612244897</v>
      </c>
      <c r="K422" s="2">
        <f>employee_data[[#This Row],[Current_Salary]]-employee_data[[#This Row],[Market_Median]]</f>
        <v>3200</v>
      </c>
      <c r="L422" s="3">
        <f>(employee_data[[#This Row],[Current_Salary]]-employee_data[[#This Row],[Market_Median]])/employee_data[[#This Row],[Market_Median]]</f>
        <v>3.2653061224489799E-2</v>
      </c>
      <c r="M422" t="str" cm="1">
        <f t="array" ref="M42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23" spans="1:13" x14ac:dyDescent="0.3">
      <c r="A423" s="1" t="s">
        <v>457</v>
      </c>
      <c r="B423" s="1" t="s">
        <v>9</v>
      </c>
      <c r="C423" s="1" t="s">
        <v>60</v>
      </c>
      <c r="D423" s="1" t="s">
        <v>32</v>
      </c>
      <c r="E423" s="1" t="s">
        <v>12</v>
      </c>
      <c r="F423">
        <v>10</v>
      </c>
      <c r="G423" s="2">
        <v>73900</v>
      </c>
      <c r="H423">
        <v>1</v>
      </c>
      <c r="I423" s="2">
        <f>_xlfn.XLOOKUP(employee_data[[#This Row],[Job_Title]],market_benchmarks[Job_Title],market_benchmarks[Market_Median],"Not Found")</f>
        <v>78000</v>
      </c>
      <c r="J423" s="3">
        <f>employee_data[[#This Row],[Current_Salary]]/employee_data[[#This Row],[Market_Median]]</f>
        <v>0.9474358974358974</v>
      </c>
      <c r="K423" s="2">
        <f>employee_data[[#This Row],[Current_Salary]]-employee_data[[#This Row],[Market_Median]]</f>
        <v>-4100</v>
      </c>
      <c r="L423" s="3">
        <f>(employee_data[[#This Row],[Current_Salary]]-employee_data[[#This Row],[Market_Median]])/employee_data[[#This Row],[Market_Median]]</f>
        <v>-5.2564102564102565E-2</v>
      </c>
      <c r="M423" t="str" cm="1">
        <f t="array" ref="M42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24" spans="1:13" x14ac:dyDescent="0.3">
      <c r="A424" s="1" t="s">
        <v>458</v>
      </c>
      <c r="B424" s="1" t="s">
        <v>30</v>
      </c>
      <c r="C424" s="1" t="s">
        <v>31</v>
      </c>
      <c r="D424" s="1" t="s">
        <v>32</v>
      </c>
      <c r="E424" s="1" t="s">
        <v>12</v>
      </c>
      <c r="F424">
        <v>8</v>
      </c>
      <c r="G424" s="2">
        <v>45000</v>
      </c>
      <c r="H424">
        <v>3</v>
      </c>
      <c r="I424" s="2">
        <f>_xlfn.XLOOKUP(employee_data[[#This Row],[Job_Title]],market_benchmarks[Job_Title],market_benchmarks[Market_Median],"Not Found")</f>
        <v>58000</v>
      </c>
      <c r="J424" s="3">
        <f>employee_data[[#This Row],[Current_Salary]]/employee_data[[#This Row],[Market_Median]]</f>
        <v>0.77586206896551724</v>
      </c>
      <c r="K424" s="2">
        <f>employee_data[[#This Row],[Current_Salary]]-employee_data[[#This Row],[Market_Median]]</f>
        <v>-13000</v>
      </c>
      <c r="L424" s="3">
        <f>(employee_data[[#This Row],[Current_Salary]]-employee_data[[#This Row],[Market_Median]])/employee_data[[#This Row],[Market_Median]]</f>
        <v>-0.22413793103448276</v>
      </c>
      <c r="M424" t="str" cm="1">
        <f t="array" ref="M42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25" spans="1:13" x14ac:dyDescent="0.3">
      <c r="A425" s="1" t="s">
        <v>459</v>
      </c>
      <c r="B425" s="1" t="s">
        <v>30</v>
      </c>
      <c r="C425" s="1" t="s">
        <v>31</v>
      </c>
      <c r="D425" s="1" t="s">
        <v>32</v>
      </c>
      <c r="E425" s="1" t="s">
        <v>12</v>
      </c>
      <c r="F425">
        <v>19</v>
      </c>
      <c r="G425" s="2">
        <v>43800</v>
      </c>
      <c r="H425">
        <v>3</v>
      </c>
      <c r="I425" s="2">
        <f>_xlfn.XLOOKUP(employee_data[[#This Row],[Job_Title]],market_benchmarks[Job_Title],market_benchmarks[Market_Median],"Not Found")</f>
        <v>58000</v>
      </c>
      <c r="J425" s="3">
        <f>employee_data[[#This Row],[Current_Salary]]/employee_data[[#This Row],[Market_Median]]</f>
        <v>0.7551724137931034</v>
      </c>
      <c r="K425" s="2">
        <f>employee_data[[#This Row],[Current_Salary]]-employee_data[[#This Row],[Market_Median]]</f>
        <v>-14200</v>
      </c>
      <c r="L425" s="3">
        <f>(employee_data[[#This Row],[Current_Salary]]-employee_data[[#This Row],[Market_Median]])/employee_data[[#This Row],[Market_Median]]</f>
        <v>-0.24482758620689654</v>
      </c>
      <c r="M425" t="str" cm="1">
        <f t="array" ref="M425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26" spans="1:13" x14ac:dyDescent="0.3">
      <c r="A426" s="1" t="s">
        <v>460</v>
      </c>
      <c r="B426" s="1" t="s">
        <v>18</v>
      </c>
      <c r="C426" s="1" t="s">
        <v>19</v>
      </c>
      <c r="D426" s="1" t="s">
        <v>16</v>
      </c>
      <c r="E426" s="1" t="s">
        <v>12</v>
      </c>
      <c r="F426">
        <v>13</v>
      </c>
      <c r="G426" s="2">
        <v>92200</v>
      </c>
      <c r="H426">
        <v>1</v>
      </c>
      <c r="I426" s="2">
        <f>_xlfn.XLOOKUP(employee_data[[#This Row],[Job_Title]],market_benchmarks[Job_Title],market_benchmarks[Market_Median],"Not Found")</f>
        <v>90000</v>
      </c>
      <c r="J426" s="3">
        <f>employee_data[[#This Row],[Current_Salary]]/employee_data[[#This Row],[Market_Median]]</f>
        <v>1.0244444444444445</v>
      </c>
      <c r="K426" s="2">
        <f>employee_data[[#This Row],[Current_Salary]]-employee_data[[#This Row],[Market_Median]]</f>
        <v>2200</v>
      </c>
      <c r="L426" s="3">
        <f>(employee_data[[#This Row],[Current_Salary]]-employee_data[[#This Row],[Market_Median]])/employee_data[[#This Row],[Market_Median]]</f>
        <v>2.4444444444444446E-2</v>
      </c>
      <c r="M426" t="str" cm="1">
        <f t="array" ref="M42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27" spans="1:13" x14ac:dyDescent="0.3">
      <c r="A427" s="1" t="s">
        <v>461</v>
      </c>
      <c r="B427" s="1" t="s">
        <v>9</v>
      </c>
      <c r="C427" s="1" t="s">
        <v>10</v>
      </c>
      <c r="D427" s="1" t="s">
        <v>11</v>
      </c>
      <c r="E427" s="1" t="s">
        <v>12</v>
      </c>
      <c r="F427">
        <v>14</v>
      </c>
      <c r="G427" s="2">
        <v>53000</v>
      </c>
      <c r="H427">
        <v>3</v>
      </c>
      <c r="I427" s="2">
        <f>_xlfn.XLOOKUP(employee_data[[#This Row],[Job_Title]],market_benchmarks[Job_Title],market_benchmarks[Market_Median],"Not Found")</f>
        <v>58000</v>
      </c>
      <c r="J427" s="3">
        <f>employee_data[[#This Row],[Current_Salary]]/employee_data[[#This Row],[Market_Median]]</f>
        <v>0.91379310344827591</v>
      </c>
      <c r="K427" s="2">
        <f>employee_data[[#This Row],[Current_Salary]]-employee_data[[#This Row],[Market_Median]]</f>
        <v>-5000</v>
      </c>
      <c r="L427" s="3">
        <f>(employee_data[[#This Row],[Current_Salary]]-employee_data[[#This Row],[Market_Median]])/employee_data[[#This Row],[Market_Median]]</f>
        <v>-8.6206896551724144E-2</v>
      </c>
      <c r="M427" t="str" cm="1">
        <f t="array" ref="M42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28" spans="1:13" x14ac:dyDescent="0.3">
      <c r="A428" s="1" t="s">
        <v>462</v>
      </c>
      <c r="B428" s="1" t="s">
        <v>18</v>
      </c>
      <c r="C428" s="1" t="s">
        <v>43</v>
      </c>
      <c r="D428" s="1" t="s">
        <v>32</v>
      </c>
      <c r="E428" s="1" t="s">
        <v>12</v>
      </c>
      <c r="F428">
        <v>20</v>
      </c>
      <c r="G428" s="2">
        <v>71100</v>
      </c>
      <c r="H428">
        <v>5</v>
      </c>
      <c r="I428" s="2">
        <f>_xlfn.XLOOKUP(employee_data[[#This Row],[Job_Title]],market_benchmarks[Job_Title],market_benchmarks[Market_Median],"Not Found")</f>
        <v>72000</v>
      </c>
      <c r="J428" s="3">
        <f>employee_data[[#This Row],[Current_Salary]]/employee_data[[#This Row],[Market_Median]]</f>
        <v>0.98750000000000004</v>
      </c>
      <c r="K428" s="2">
        <f>employee_data[[#This Row],[Current_Salary]]-employee_data[[#This Row],[Market_Median]]</f>
        <v>-900</v>
      </c>
      <c r="L428" s="3">
        <f>(employee_data[[#This Row],[Current_Salary]]-employee_data[[#This Row],[Market_Median]])/employee_data[[#This Row],[Market_Median]]</f>
        <v>-1.2500000000000001E-2</v>
      </c>
      <c r="M428" t="str" cm="1">
        <f t="array" ref="M42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29" spans="1:13" x14ac:dyDescent="0.3">
      <c r="A429" s="1" t="s">
        <v>463</v>
      </c>
      <c r="B429" s="1" t="s">
        <v>9</v>
      </c>
      <c r="C429" s="1" t="s">
        <v>25</v>
      </c>
      <c r="D429" s="1" t="s">
        <v>16</v>
      </c>
      <c r="E429" s="1" t="s">
        <v>12</v>
      </c>
      <c r="F429">
        <v>10</v>
      </c>
      <c r="G429" s="2">
        <v>108800</v>
      </c>
      <c r="H429">
        <v>3</v>
      </c>
      <c r="I429" s="2">
        <f>_xlfn.XLOOKUP(employee_data[[#This Row],[Job_Title]],market_benchmarks[Job_Title],market_benchmarks[Market_Median],"Not Found")</f>
        <v>98000</v>
      </c>
      <c r="J429" s="3">
        <f>employee_data[[#This Row],[Current_Salary]]/employee_data[[#This Row],[Market_Median]]</f>
        <v>1.1102040816326531</v>
      </c>
      <c r="K429" s="2">
        <f>employee_data[[#This Row],[Current_Salary]]-employee_data[[#This Row],[Market_Median]]</f>
        <v>10800</v>
      </c>
      <c r="L429" s="3">
        <f>(employee_data[[#This Row],[Current_Salary]]-employee_data[[#This Row],[Market_Median]])/employee_data[[#This Row],[Market_Median]]</f>
        <v>0.11020408163265306</v>
      </c>
      <c r="M429" t="str" cm="1">
        <f t="array" ref="M429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30" spans="1:13" x14ac:dyDescent="0.3">
      <c r="A430" s="1" t="s">
        <v>464</v>
      </c>
      <c r="B430" s="1" t="s">
        <v>9</v>
      </c>
      <c r="C430" s="1" t="s">
        <v>10</v>
      </c>
      <c r="D430" s="1" t="s">
        <v>11</v>
      </c>
      <c r="E430" s="1" t="s">
        <v>12</v>
      </c>
      <c r="F430">
        <v>12</v>
      </c>
      <c r="G430" s="2">
        <v>57400</v>
      </c>
      <c r="H430">
        <v>3</v>
      </c>
      <c r="I430" s="2">
        <f>_xlfn.XLOOKUP(employee_data[[#This Row],[Job_Title]],market_benchmarks[Job_Title],market_benchmarks[Market_Median],"Not Found")</f>
        <v>58000</v>
      </c>
      <c r="J430" s="3">
        <f>employee_data[[#This Row],[Current_Salary]]/employee_data[[#This Row],[Market_Median]]</f>
        <v>0.98965517241379308</v>
      </c>
      <c r="K430" s="2">
        <f>employee_data[[#This Row],[Current_Salary]]-employee_data[[#This Row],[Market_Median]]</f>
        <v>-600</v>
      </c>
      <c r="L430" s="3">
        <f>(employee_data[[#This Row],[Current_Salary]]-employee_data[[#This Row],[Market_Median]])/employee_data[[#This Row],[Market_Median]]</f>
        <v>-1.0344827586206896E-2</v>
      </c>
      <c r="M430" t="str" cm="1">
        <f t="array" ref="M43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1" spans="1:13" x14ac:dyDescent="0.3">
      <c r="A431" s="1" t="s">
        <v>465</v>
      </c>
      <c r="B431" s="1" t="s">
        <v>14</v>
      </c>
      <c r="C431" s="1" t="s">
        <v>65</v>
      </c>
      <c r="D431" s="1" t="s">
        <v>32</v>
      </c>
      <c r="E431" s="1" t="s">
        <v>12</v>
      </c>
      <c r="F431">
        <v>14</v>
      </c>
      <c r="G431" s="2">
        <v>60200</v>
      </c>
      <c r="H431">
        <v>3</v>
      </c>
      <c r="I431" s="2">
        <f>_xlfn.XLOOKUP(employee_data[[#This Row],[Job_Title]],market_benchmarks[Job_Title],market_benchmarks[Market_Median],"Not Found")</f>
        <v>68000</v>
      </c>
      <c r="J431" s="3">
        <f>employee_data[[#This Row],[Current_Salary]]/employee_data[[#This Row],[Market_Median]]</f>
        <v>0.88529411764705879</v>
      </c>
      <c r="K431" s="2">
        <f>employee_data[[#This Row],[Current_Salary]]-employee_data[[#This Row],[Market_Median]]</f>
        <v>-7800</v>
      </c>
      <c r="L431" s="3">
        <f>(employee_data[[#This Row],[Current_Salary]]-employee_data[[#This Row],[Market_Median]])/employee_data[[#This Row],[Market_Median]]</f>
        <v>-0.11470588235294117</v>
      </c>
      <c r="M431" t="str" cm="1">
        <f t="array" ref="M43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32" spans="1:13" x14ac:dyDescent="0.3">
      <c r="A432" s="1" t="s">
        <v>466</v>
      </c>
      <c r="B432" s="1" t="s">
        <v>9</v>
      </c>
      <c r="C432" s="1" t="s">
        <v>10</v>
      </c>
      <c r="D432" s="1" t="s">
        <v>11</v>
      </c>
      <c r="E432" s="1" t="s">
        <v>12</v>
      </c>
      <c r="F432">
        <v>10</v>
      </c>
      <c r="G432" s="2">
        <v>58900</v>
      </c>
      <c r="H432">
        <v>4</v>
      </c>
      <c r="I432" s="2">
        <f>_xlfn.XLOOKUP(employee_data[[#This Row],[Job_Title]],market_benchmarks[Job_Title],market_benchmarks[Market_Median],"Not Found")</f>
        <v>58000</v>
      </c>
      <c r="J432" s="3">
        <f>employee_data[[#This Row],[Current_Salary]]/employee_data[[#This Row],[Market_Median]]</f>
        <v>1.0155172413793103</v>
      </c>
      <c r="K432" s="2">
        <f>employee_data[[#This Row],[Current_Salary]]-employee_data[[#This Row],[Market_Median]]</f>
        <v>900</v>
      </c>
      <c r="L432" s="3">
        <f>(employee_data[[#This Row],[Current_Salary]]-employee_data[[#This Row],[Market_Median]])/employee_data[[#This Row],[Market_Median]]</f>
        <v>1.5517241379310345E-2</v>
      </c>
      <c r="M432" t="str" cm="1">
        <f t="array" ref="M43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3" spans="1:13" x14ac:dyDescent="0.3">
      <c r="A433" s="1" t="s">
        <v>467</v>
      </c>
      <c r="B433" s="1" t="s">
        <v>22</v>
      </c>
      <c r="C433" s="1" t="s">
        <v>41</v>
      </c>
      <c r="D433" s="1" t="s">
        <v>16</v>
      </c>
      <c r="E433" s="1" t="s">
        <v>12</v>
      </c>
      <c r="F433">
        <v>6</v>
      </c>
      <c r="G433" s="2">
        <v>92900</v>
      </c>
      <c r="H433">
        <v>3</v>
      </c>
      <c r="I433" s="2">
        <f>_xlfn.XLOOKUP(employee_data[[#This Row],[Job_Title]],market_benchmarks[Job_Title],market_benchmarks[Market_Median],"Not Found")</f>
        <v>85000</v>
      </c>
      <c r="J433" s="3">
        <f>employee_data[[#This Row],[Current_Salary]]/employee_data[[#This Row],[Market_Median]]</f>
        <v>1.0929411764705883</v>
      </c>
      <c r="K433" s="2">
        <f>employee_data[[#This Row],[Current_Salary]]-employee_data[[#This Row],[Market_Median]]</f>
        <v>7900</v>
      </c>
      <c r="L433" s="3">
        <f>(employee_data[[#This Row],[Current_Salary]]-employee_data[[#This Row],[Market_Median]])/employee_data[[#This Row],[Market_Median]]</f>
        <v>9.2941176470588235E-2</v>
      </c>
      <c r="M433" t="str" cm="1">
        <f t="array" ref="M43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34" spans="1:13" x14ac:dyDescent="0.3">
      <c r="A434" s="1" t="s">
        <v>468</v>
      </c>
      <c r="B434" s="1" t="s">
        <v>30</v>
      </c>
      <c r="C434" s="1" t="s">
        <v>53</v>
      </c>
      <c r="D434" s="1" t="s">
        <v>11</v>
      </c>
      <c r="E434" s="1" t="s">
        <v>12</v>
      </c>
      <c r="F434">
        <v>14</v>
      </c>
      <c r="G434" s="2">
        <v>52000</v>
      </c>
      <c r="H434">
        <v>3</v>
      </c>
      <c r="I434" s="2">
        <f>_xlfn.XLOOKUP(employee_data[[#This Row],[Job_Title]],market_benchmarks[Job_Title],market_benchmarks[Market_Median],"Not Found")</f>
        <v>48000</v>
      </c>
      <c r="J434" s="3">
        <f>employee_data[[#This Row],[Current_Salary]]/employee_data[[#This Row],[Market_Median]]</f>
        <v>1.0833333333333333</v>
      </c>
      <c r="K434" s="2">
        <f>employee_data[[#This Row],[Current_Salary]]-employee_data[[#This Row],[Market_Median]]</f>
        <v>4000</v>
      </c>
      <c r="L434" s="3">
        <f>(employee_data[[#This Row],[Current_Salary]]-employee_data[[#This Row],[Market_Median]])/employee_data[[#This Row],[Market_Median]]</f>
        <v>8.3333333333333329E-2</v>
      </c>
      <c r="M434" t="str" cm="1">
        <f t="array" ref="M43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35" spans="1:13" x14ac:dyDescent="0.3">
      <c r="A435" s="1" t="s">
        <v>469</v>
      </c>
      <c r="B435" s="1" t="s">
        <v>9</v>
      </c>
      <c r="C435" s="1" t="s">
        <v>10</v>
      </c>
      <c r="D435" s="1" t="s">
        <v>11</v>
      </c>
      <c r="E435" s="1" t="s">
        <v>12</v>
      </c>
      <c r="F435">
        <v>2</v>
      </c>
      <c r="G435" s="2">
        <v>56500</v>
      </c>
      <c r="H435">
        <v>5</v>
      </c>
      <c r="I435" s="2">
        <f>_xlfn.XLOOKUP(employee_data[[#This Row],[Job_Title]],market_benchmarks[Job_Title],market_benchmarks[Market_Median],"Not Found")</f>
        <v>58000</v>
      </c>
      <c r="J435" s="3">
        <f>employee_data[[#This Row],[Current_Salary]]/employee_data[[#This Row],[Market_Median]]</f>
        <v>0.97413793103448276</v>
      </c>
      <c r="K435" s="2">
        <f>employee_data[[#This Row],[Current_Salary]]-employee_data[[#This Row],[Market_Median]]</f>
        <v>-1500</v>
      </c>
      <c r="L435" s="3">
        <f>(employee_data[[#This Row],[Current_Salary]]-employee_data[[#This Row],[Market_Median]])/employee_data[[#This Row],[Market_Median]]</f>
        <v>-2.5862068965517241E-2</v>
      </c>
      <c r="M435" t="str" cm="1">
        <f t="array" ref="M43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6" spans="1:13" x14ac:dyDescent="0.3">
      <c r="A436" s="1" t="s">
        <v>470</v>
      </c>
      <c r="B436" s="1" t="s">
        <v>14</v>
      </c>
      <c r="C436" s="1" t="s">
        <v>65</v>
      </c>
      <c r="D436" s="1" t="s">
        <v>32</v>
      </c>
      <c r="E436" s="1" t="s">
        <v>12</v>
      </c>
      <c r="F436">
        <v>1</v>
      </c>
      <c r="G436" s="2">
        <v>76000</v>
      </c>
      <c r="H436">
        <v>3</v>
      </c>
      <c r="I436" s="2">
        <f>_xlfn.XLOOKUP(employee_data[[#This Row],[Job_Title]],market_benchmarks[Job_Title],market_benchmarks[Market_Median],"Not Found")</f>
        <v>68000</v>
      </c>
      <c r="J436" s="3">
        <f>employee_data[[#This Row],[Current_Salary]]/employee_data[[#This Row],[Market_Median]]</f>
        <v>1.1176470588235294</v>
      </c>
      <c r="K436" s="2">
        <f>employee_data[[#This Row],[Current_Salary]]-employee_data[[#This Row],[Market_Median]]</f>
        <v>8000</v>
      </c>
      <c r="L436" s="3">
        <f>(employee_data[[#This Row],[Current_Salary]]-employee_data[[#This Row],[Market_Median]])/employee_data[[#This Row],[Market_Median]]</f>
        <v>0.11764705882352941</v>
      </c>
      <c r="M436" t="str" cm="1">
        <f t="array" ref="M436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37" spans="1:13" x14ac:dyDescent="0.3">
      <c r="A437" s="1" t="s">
        <v>471</v>
      </c>
      <c r="B437" s="1" t="s">
        <v>14</v>
      </c>
      <c r="C437" s="1" t="s">
        <v>15</v>
      </c>
      <c r="D437" s="1" t="s">
        <v>16</v>
      </c>
      <c r="E437" s="1" t="s">
        <v>12</v>
      </c>
      <c r="F437">
        <v>1</v>
      </c>
      <c r="G437" s="2">
        <v>81100</v>
      </c>
      <c r="H437">
        <v>3</v>
      </c>
      <c r="I437" s="2">
        <f>_xlfn.XLOOKUP(employee_data[[#This Row],[Job_Title]],market_benchmarks[Job_Title],market_benchmarks[Market_Median],"Not Found")</f>
        <v>82000</v>
      </c>
      <c r="J437" s="3">
        <f>employee_data[[#This Row],[Current_Salary]]/employee_data[[#This Row],[Market_Median]]</f>
        <v>0.98902439024390243</v>
      </c>
      <c r="K437" s="2">
        <f>employee_data[[#This Row],[Current_Salary]]-employee_data[[#This Row],[Market_Median]]</f>
        <v>-900</v>
      </c>
      <c r="L437" s="3">
        <f>(employee_data[[#This Row],[Current_Salary]]-employee_data[[#This Row],[Market_Median]])/employee_data[[#This Row],[Market_Median]]</f>
        <v>-1.097560975609756E-2</v>
      </c>
      <c r="M437" t="str" cm="1">
        <f t="array" ref="M43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8" spans="1:13" x14ac:dyDescent="0.3">
      <c r="A438" s="1" t="s">
        <v>472</v>
      </c>
      <c r="B438" s="1" t="s">
        <v>18</v>
      </c>
      <c r="C438" s="1" t="s">
        <v>28</v>
      </c>
      <c r="D438" s="1" t="s">
        <v>11</v>
      </c>
      <c r="E438" s="1" t="s">
        <v>12</v>
      </c>
      <c r="F438">
        <v>19</v>
      </c>
      <c r="G438" s="2">
        <v>50600</v>
      </c>
      <c r="H438">
        <v>3</v>
      </c>
      <c r="I438" s="2">
        <f>_xlfn.XLOOKUP(employee_data[[#This Row],[Job_Title]],market_benchmarks[Job_Title],market_benchmarks[Market_Median],"Not Found")</f>
        <v>52000</v>
      </c>
      <c r="J438" s="3">
        <f>employee_data[[#This Row],[Current_Salary]]/employee_data[[#This Row],[Market_Median]]</f>
        <v>0.97307692307692306</v>
      </c>
      <c r="K438" s="2">
        <f>employee_data[[#This Row],[Current_Salary]]-employee_data[[#This Row],[Market_Median]]</f>
        <v>-1400</v>
      </c>
      <c r="L438" s="3">
        <f>(employee_data[[#This Row],[Current_Salary]]-employee_data[[#This Row],[Market_Median]])/employee_data[[#This Row],[Market_Median]]</f>
        <v>-2.6923076923076925E-2</v>
      </c>
      <c r="M438" t="str" cm="1">
        <f t="array" ref="M43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39" spans="1:13" x14ac:dyDescent="0.3">
      <c r="A439" s="1" t="s">
        <v>473</v>
      </c>
      <c r="B439" s="1" t="s">
        <v>9</v>
      </c>
      <c r="C439" s="1" t="s">
        <v>10</v>
      </c>
      <c r="D439" s="1" t="s">
        <v>11</v>
      </c>
      <c r="E439" s="1" t="s">
        <v>12</v>
      </c>
      <c r="F439">
        <v>13</v>
      </c>
      <c r="G439" s="2">
        <v>56500</v>
      </c>
      <c r="H439">
        <v>3</v>
      </c>
      <c r="I439" s="2">
        <f>_xlfn.XLOOKUP(employee_data[[#This Row],[Job_Title]],market_benchmarks[Job_Title],market_benchmarks[Market_Median],"Not Found")</f>
        <v>58000</v>
      </c>
      <c r="J439" s="3">
        <f>employee_data[[#This Row],[Current_Salary]]/employee_data[[#This Row],[Market_Median]]</f>
        <v>0.97413793103448276</v>
      </c>
      <c r="K439" s="2">
        <f>employee_data[[#This Row],[Current_Salary]]-employee_data[[#This Row],[Market_Median]]</f>
        <v>-1500</v>
      </c>
      <c r="L439" s="3">
        <f>(employee_data[[#This Row],[Current_Salary]]-employee_data[[#This Row],[Market_Median]])/employee_data[[#This Row],[Market_Median]]</f>
        <v>-2.5862068965517241E-2</v>
      </c>
      <c r="M439" t="str" cm="1">
        <f t="array" ref="M43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40" spans="1:13" x14ac:dyDescent="0.3">
      <c r="A440" s="1" t="s">
        <v>474</v>
      </c>
      <c r="B440" s="1" t="s">
        <v>38</v>
      </c>
      <c r="C440" s="1" t="s">
        <v>55</v>
      </c>
      <c r="D440" s="1" t="s">
        <v>11</v>
      </c>
      <c r="E440" s="1" t="s">
        <v>12</v>
      </c>
      <c r="F440">
        <v>19</v>
      </c>
      <c r="G440" s="2">
        <v>47000</v>
      </c>
      <c r="H440">
        <v>3</v>
      </c>
      <c r="I440" s="2">
        <f>_xlfn.XLOOKUP(employee_data[[#This Row],[Job_Title]],market_benchmarks[Job_Title],market_benchmarks[Market_Median],"Not Found")</f>
        <v>52000</v>
      </c>
      <c r="J440" s="3">
        <f>employee_data[[#This Row],[Current_Salary]]/employee_data[[#This Row],[Market_Median]]</f>
        <v>0.90384615384615385</v>
      </c>
      <c r="K440" s="2">
        <f>employee_data[[#This Row],[Current_Salary]]-employee_data[[#This Row],[Market_Median]]</f>
        <v>-5000</v>
      </c>
      <c r="L440" s="3">
        <f>(employee_data[[#This Row],[Current_Salary]]-employee_data[[#This Row],[Market_Median]])/employee_data[[#This Row],[Market_Median]]</f>
        <v>-9.6153846153846159E-2</v>
      </c>
      <c r="M440" t="str" cm="1">
        <f t="array" ref="M44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41" spans="1:13" x14ac:dyDescent="0.3">
      <c r="A441" s="1" t="s">
        <v>475</v>
      </c>
      <c r="B441" s="1" t="s">
        <v>14</v>
      </c>
      <c r="C441" s="1" t="s">
        <v>48</v>
      </c>
      <c r="D441" s="1" t="s">
        <v>11</v>
      </c>
      <c r="E441" s="1" t="s">
        <v>12</v>
      </c>
      <c r="F441">
        <v>3</v>
      </c>
      <c r="G441" s="2">
        <v>43400</v>
      </c>
      <c r="H441">
        <v>3</v>
      </c>
      <c r="I441" s="2">
        <f>_xlfn.XLOOKUP(employee_data[[#This Row],[Job_Title]],market_benchmarks[Job_Title],market_benchmarks[Market_Median],"Not Found")</f>
        <v>50000</v>
      </c>
      <c r="J441" s="3">
        <f>employee_data[[#This Row],[Current_Salary]]/employee_data[[#This Row],[Market_Median]]</f>
        <v>0.86799999999999999</v>
      </c>
      <c r="K441" s="2">
        <f>employee_data[[#This Row],[Current_Salary]]-employee_data[[#This Row],[Market_Median]]</f>
        <v>-6600</v>
      </c>
      <c r="L441" s="3">
        <f>(employee_data[[#This Row],[Current_Salary]]-employee_data[[#This Row],[Market_Median]])/employee_data[[#This Row],[Market_Median]]</f>
        <v>-0.13200000000000001</v>
      </c>
      <c r="M441" t="str" cm="1">
        <f t="array" ref="M44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42" spans="1:13" x14ac:dyDescent="0.3">
      <c r="A442" s="1" t="s">
        <v>476</v>
      </c>
      <c r="B442" s="1" t="s">
        <v>9</v>
      </c>
      <c r="C442" s="1" t="s">
        <v>60</v>
      </c>
      <c r="D442" s="1" t="s">
        <v>32</v>
      </c>
      <c r="E442" s="1" t="s">
        <v>12</v>
      </c>
      <c r="F442">
        <v>2</v>
      </c>
      <c r="G442" s="2">
        <v>71000</v>
      </c>
      <c r="H442">
        <v>2</v>
      </c>
      <c r="I442" s="2">
        <f>_xlfn.XLOOKUP(employee_data[[#This Row],[Job_Title]],market_benchmarks[Job_Title],market_benchmarks[Market_Median],"Not Found")</f>
        <v>78000</v>
      </c>
      <c r="J442" s="3">
        <f>employee_data[[#This Row],[Current_Salary]]/employee_data[[#This Row],[Market_Median]]</f>
        <v>0.91025641025641024</v>
      </c>
      <c r="K442" s="2">
        <f>employee_data[[#This Row],[Current_Salary]]-employee_data[[#This Row],[Market_Median]]</f>
        <v>-7000</v>
      </c>
      <c r="L442" s="3">
        <f>(employee_data[[#This Row],[Current_Salary]]-employee_data[[#This Row],[Market_Median]])/employee_data[[#This Row],[Market_Median]]</f>
        <v>-8.9743589743589744E-2</v>
      </c>
      <c r="M442" t="str" cm="1">
        <f t="array" ref="M44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43" spans="1:13" x14ac:dyDescent="0.3">
      <c r="A443" s="1" t="s">
        <v>477</v>
      </c>
      <c r="B443" s="1" t="s">
        <v>18</v>
      </c>
      <c r="C443" s="1" t="s">
        <v>28</v>
      </c>
      <c r="D443" s="1" t="s">
        <v>11</v>
      </c>
      <c r="E443" s="1" t="s">
        <v>12</v>
      </c>
      <c r="F443">
        <v>6</v>
      </c>
      <c r="G443" s="2">
        <v>47300</v>
      </c>
      <c r="H443">
        <v>3</v>
      </c>
      <c r="I443" s="2">
        <f>_xlfn.XLOOKUP(employee_data[[#This Row],[Job_Title]],market_benchmarks[Job_Title],market_benchmarks[Market_Median],"Not Found")</f>
        <v>52000</v>
      </c>
      <c r="J443" s="3">
        <f>employee_data[[#This Row],[Current_Salary]]/employee_data[[#This Row],[Market_Median]]</f>
        <v>0.9096153846153846</v>
      </c>
      <c r="K443" s="2">
        <f>employee_data[[#This Row],[Current_Salary]]-employee_data[[#This Row],[Market_Median]]</f>
        <v>-4700</v>
      </c>
      <c r="L443" s="3">
        <f>(employee_data[[#This Row],[Current_Salary]]-employee_data[[#This Row],[Market_Median]])/employee_data[[#This Row],[Market_Median]]</f>
        <v>-9.0384615384615383E-2</v>
      </c>
      <c r="M443" t="str" cm="1">
        <f t="array" ref="M44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44" spans="1:13" x14ac:dyDescent="0.3">
      <c r="A444" s="1" t="s">
        <v>478</v>
      </c>
      <c r="B444" s="1" t="s">
        <v>22</v>
      </c>
      <c r="C444" s="1" t="s">
        <v>41</v>
      </c>
      <c r="D444" s="1" t="s">
        <v>16</v>
      </c>
      <c r="E444" s="1" t="s">
        <v>12</v>
      </c>
      <c r="F444">
        <v>4</v>
      </c>
      <c r="G444" s="2">
        <v>96600</v>
      </c>
      <c r="H444">
        <v>3</v>
      </c>
      <c r="I444" s="2">
        <f>_xlfn.XLOOKUP(employee_data[[#This Row],[Job_Title]],market_benchmarks[Job_Title],market_benchmarks[Market_Median],"Not Found")</f>
        <v>85000</v>
      </c>
      <c r="J444" s="3">
        <f>employee_data[[#This Row],[Current_Salary]]/employee_data[[#This Row],[Market_Median]]</f>
        <v>1.1364705882352941</v>
      </c>
      <c r="K444" s="2">
        <f>employee_data[[#This Row],[Current_Salary]]-employee_data[[#This Row],[Market_Median]]</f>
        <v>11600</v>
      </c>
      <c r="L444" s="3">
        <f>(employee_data[[#This Row],[Current_Salary]]-employee_data[[#This Row],[Market_Median]])/employee_data[[#This Row],[Market_Median]]</f>
        <v>0.13647058823529412</v>
      </c>
      <c r="M444" t="str" cm="1">
        <f t="array" ref="M44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45" spans="1:13" x14ac:dyDescent="0.3">
      <c r="A445" s="1" t="s">
        <v>479</v>
      </c>
      <c r="B445" s="1" t="s">
        <v>22</v>
      </c>
      <c r="C445" s="1" t="s">
        <v>36</v>
      </c>
      <c r="D445" s="1" t="s">
        <v>32</v>
      </c>
      <c r="E445" s="1" t="s">
        <v>12</v>
      </c>
      <c r="F445">
        <v>17</v>
      </c>
      <c r="G445" s="2">
        <v>77400</v>
      </c>
      <c r="H445">
        <v>3</v>
      </c>
      <c r="I445" s="2">
        <f>_xlfn.XLOOKUP(employee_data[[#This Row],[Job_Title]],market_benchmarks[Job_Title],market_benchmarks[Market_Median],"Not Found")</f>
        <v>68000</v>
      </c>
      <c r="J445" s="3">
        <f>employee_data[[#This Row],[Current_Salary]]/employee_data[[#This Row],[Market_Median]]</f>
        <v>1.138235294117647</v>
      </c>
      <c r="K445" s="2">
        <f>employee_data[[#This Row],[Current_Salary]]-employee_data[[#This Row],[Market_Median]]</f>
        <v>9400</v>
      </c>
      <c r="L445" s="3">
        <f>(employee_data[[#This Row],[Current_Salary]]-employee_data[[#This Row],[Market_Median]])/employee_data[[#This Row],[Market_Median]]</f>
        <v>0.13823529411764707</v>
      </c>
      <c r="M445" t="str" cm="1">
        <f t="array" ref="M44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46" spans="1:13" x14ac:dyDescent="0.3">
      <c r="A446" s="1" t="s">
        <v>480</v>
      </c>
      <c r="B446" s="1" t="s">
        <v>9</v>
      </c>
      <c r="C446" s="1" t="s">
        <v>25</v>
      </c>
      <c r="D446" s="1" t="s">
        <v>16</v>
      </c>
      <c r="E446" s="1" t="s">
        <v>12</v>
      </c>
      <c r="F446">
        <v>16</v>
      </c>
      <c r="G446" s="2">
        <v>97600</v>
      </c>
      <c r="H446">
        <v>3</v>
      </c>
      <c r="I446" s="2">
        <f>_xlfn.XLOOKUP(employee_data[[#This Row],[Job_Title]],market_benchmarks[Job_Title],market_benchmarks[Market_Median],"Not Found")</f>
        <v>98000</v>
      </c>
      <c r="J446" s="3">
        <f>employee_data[[#This Row],[Current_Salary]]/employee_data[[#This Row],[Market_Median]]</f>
        <v>0.99591836734693873</v>
      </c>
      <c r="K446" s="2">
        <f>employee_data[[#This Row],[Current_Salary]]-employee_data[[#This Row],[Market_Median]]</f>
        <v>-400</v>
      </c>
      <c r="L446" s="3">
        <f>(employee_data[[#This Row],[Current_Salary]]-employee_data[[#This Row],[Market_Median]])/employee_data[[#This Row],[Market_Median]]</f>
        <v>-4.0816326530612249E-3</v>
      </c>
      <c r="M446" t="str" cm="1">
        <f t="array" ref="M44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47" spans="1:13" x14ac:dyDescent="0.3">
      <c r="A447" s="1" t="s">
        <v>481</v>
      </c>
      <c r="B447" s="1" t="s">
        <v>9</v>
      </c>
      <c r="C447" s="1" t="s">
        <v>60</v>
      </c>
      <c r="D447" s="1" t="s">
        <v>32</v>
      </c>
      <c r="E447" s="1" t="s">
        <v>12</v>
      </c>
      <c r="F447">
        <v>5</v>
      </c>
      <c r="G447" s="2">
        <v>67700</v>
      </c>
      <c r="H447">
        <v>3</v>
      </c>
      <c r="I447" s="2">
        <f>_xlfn.XLOOKUP(employee_data[[#This Row],[Job_Title]],market_benchmarks[Job_Title],market_benchmarks[Market_Median],"Not Found")</f>
        <v>78000</v>
      </c>
      <c r="J447" s="3">
        <f>employee_data[[#This Row],[Current_Salary]]/employee_data[[#This Row],[Market_Median]]</f>
        <v>0.86794871794871797</v>
      </c>
      <c r="K447" s="2">
        <f>employee_data[[#This Row],[Current_Salary]]-employee_data[[#This Row],[Market_Median]]</f>
        <v>-10300</v>
      </c>
      <c r="L447" s="3">
        <f>(employee_data[[#This Row],[Current_Salary]]-employee_data[[#This Row],[Market_Median]])/employee_data[[#This Row],[Market_Median]]</f>
        <v>-0.13205128205128205</v>
      </c>
      <c r="M447" t="str" cm="1">
        <f t="array" ref="M44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48" spans="1:13" x14ac:dyDescent="0.3">
      <c r="A448" s="1" t="s">
        <v>482</v>
      </c>
      <c r="B448" s="1" t="s">
        <v>9</v>
      </c>
      <c r="C448" s="1" t="s">
        <v>25</v>
      </c>
      <c r="D448" s="1" t="s">
        <v>16</v>
      </c>
      <c r="E448" s="1" t="s">
        <v>12</v>
      </c>
      <c r="F448">
        <v>15</v>
      </c>
      <c r="G448" s="2">
        <v>96600</v>
      </c>
      <c r="H448">
        <v>3</v>
      </c>
      <c r="I448" s="2">
        <f>_xlfn.XLOOKUP(employee_data[[#This Row],[Job_Title]],market_benchmarks[Job_Title],market_benchmarks[Market_Median],"Not Found")</f>
        <v>98000</v>
      </c>
      <c r="J448" s="3">
        <f>employee_data[[#This Row],[Current_Salary]]/employee_data[[#This Row],[Market_Median]]</f>
        <v>0.98571428571428577</v>
      </c>
      <c r="K448" s="2">
        <f>employee_data[[#This Row],[Current_Salary]]-employee_data[[#This Row],[Market_Median]]</f>
        <v>-1400</v>
      </c>
      <c r="L448" s="3">
        <f>(employee_data[[#This Row],[Current_Salary]]-employee_data[[#This Row],[Market_Median]])/employee_data[[#This Row],[Market_Median]]</f>
        <v>-1.4285714285714285E-2</v>
      </c>
      <c r="M448" t="str" cm="1">
        <f t="array" ref="M44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49" spans="1:13" x14ac:dyDescent="0.3">
      <c r="A449" s="1" t="s">
        <v>483</v>
      </c>
      <c r="B449" s="1" t="s">
        <v>30</v>
      </c>
      <c r="C449" s="1" t="s">
        <v>31</v>
      </c>
      <c r="D449" s="1" t="s">
        <v>32</v>
      </c>
      <c r="E449" s="1" t="s">
        <v>12</v>
      </c>
      <c r="F449">
        <v>19</v>
      </c>
      <c r="G449" s="2">
        <v>51700</v>
      </c>
      <c r="H449">
        <v>2</v>
      </c>
      <c r="I449" s="2">
        <f>_xlfn.XLOOKUP(employee_data[[#This Row],[Job_Title]],market_benchmarks[Job_Title],market_benchmarks[Market_Median],"Not Found")</f>
        <v>58000</v>
      </c>
      <c r="J449" s="3">
        <f>employee_data[[#This Row],[Current_Salary]]/employee_data[[#This Row],[Market_Median]]</f>
        <v>0.89137931034482754</v>
      </c>
      <c r="K449" s="2">
        <f>employee_data[[#This Row],[Current_Salary]]-employee_data[[#This Row],[Market_Median]]</f>
        <v>-6300</v>
      </c>
      <c r="L449" s="3">
        <f>(employee_data[[#This Row],[Current_Salary]]-employee_data[[#This Row],[Market_Median]])/employee_data[[#This Row],[Market_Median]]</f>
        <v>-0.10862068965517241</v>
      </c>
      <c r="M449" t="str" cm="1">
        <f t="array" ref="M44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50" spans="1:13" x14ac:dyDescent="0.3">
      <c r="A450" s="1" t="s">
        <v>484</v>
      </c>
      <c r="B450" s="1" t="s">
        <v>9</v>
      </c>
      <c r="C450" s="1" t="s">
        <v>25</v>
      </c>
      <c r="D450" s="1" t="s">
        <v>16</v>
      </c>
      <c r="E450" s="1" t="s">
        <v>12</v>
      </c>
      <c r="F450">
        <v>14</v>
      </c>
      <c r="G450" s="2">
        <v>95000</v>
      </c>
      <c r="H450">
        <v>5</v>
      </c>
      <c r="I450" s="2">
        <f>_xlfn.XLOOKUP(employee_data[[#This Row],[Job_Title]],market_benchmarks[Job_Title],market_benchmarks[Market_Median],"Not Found")</f>
        <v>98000</v>
      </c>
      <c r="J450" s="3">
        <f>employee_data[[#This Row],[Current_Salary]]/employee_data[[#This Row],[Market_Median]]</f>
        <v>0.96938775510204078</v>
      </c>
      <c r="K450" s="2">
        <f>employee_data[[#This Row],[Current_Salary]]-employee_data[[#This Row],[Market_Median]]</f>
        <v>-3000</v>
      </c>
      <c r="L450" s="3">
        <f>(employee_data[[#This Row],[Current_Salary]]-employee_data[[#This Row],[Market_Median]])/employee_data[[#This Row],[Market_Median]]</f>
        <v>-3.0612244897959183E-2</v>
      </c>
      <c r="M450" t="str" cm="1">
        <f t="array" ref="M45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1" spans="1:13" x14ac:dyDescent="0.3">
      <c r="A451" s="1" t="s">
        <v>485</v>
      </c>
      <c r="B451" s="1" t="s">
        <v>30</v>
      </c>
      <c r="C451" s="1" t="s">
        <v>31</v>
      </c>
      <c r="D451" s="1" t="s">
        <v>32</v>
      </c>
      <c r="E451" s="1" t="s">
        <v>12</v>
      </c>
      <c r="F451">
        <v>3</v>
      </c>
      <c r="G451" s="2">
        <v>58400</v>
      </c>
      <c r="H451">
        <v>3</v>
      </c>
      <c r="I451" s="2">
        <f>_xlfn.XLOOKUP(employee_data[[#This Row],[Job_Title]],market_benchmarks[Job_Title],market_benchmarks[Market_Median],"Not Found")</f>
        <v>58000</v>
      </c>
      <c r="J451" s="3">
        <f>employee_data[[#This Row],[Current_Salary]]/employee_data[[#This Row],[Market_Median]]</f>
        <v>1.0068965517241379</v>
      </c>
      <c r="K451" s="2">
        <f>employee_data[[#This Row],[Current_Salary]]-employee_data[[#This Row],[Market_Median]]</f>
        <v>400</v>
      </c>
      <c r="L451" s="3">
        <f>(employee_data[[#This Row],[Current_Salary]]-employee_data[[#This Row],[Market_Median]])/employee_data[[#This Row],[Market_Median]]</f>
        <v>6.8965517241379309E-3</v>
      </c>
      <c r="M451" t="str" cm="1">
        <f t="array" ref="M45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2" spans="1:13" x14ac:dyDescent="0.3">
      <c r="A452" s="1" t="s">
        <v>486</v>
      </c>
      <c r="B452" s="1" t="s">
        <v>14</v>
      </c>
      <c r="C452" s="1" t="s">
        <v>15</v>
      </c>
      <c r="D452" s="1" t="s">
        <v>16</v>
      </c>
      <c r="E452" s="1" t="s">
        <v>12</v>
      </c>
      <c r="F452">
        <v>5</v>
      </c>
      <c r="G452" s="2">
        <v>84900</v>
      </c>
      <c r="H452">
        <v>5</v>
      </c>
      <c r="I452" s="2">
        <f>_xlfn.XLOOKUP(employee_data[[#This Row],[Job_Title]],market_benchmarks[Job_Title],market_benchmarks[Market_Median],"Not Found")</f>
        <v>82000</v>
      </c>
      <c r="J452" s="3">
        <f>employee_data[[#This Row],[Current_Salary]]/employee_data[[#This Row],[Market_Median]]</f>
        <v>1.0353658536585366</v>
      </c>
      <c r="K452" s="2">
        <f>employee_data[[#This Row],[Current_Salary]]-employee_data[[#This Row],[Market_Median]]</f>
        <v>2900</v>
      </c>
      <c r="L452" s="3">
        <f>(employee_data[[#This Row],[Current_Salary]]-employee_data[[#This Row],[Market_Median]])/employee_data[[#This Row],[Market_Median]]</f>
        <v>3.5365853658536582E-2</v>
      </c>
      <c r="M452" t="str" cm="1">
        <f t="array" ref="M452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3" spans="1:13" x14ac:dyDescent="0.3">
      <c r="A453" s="1" t="s">
        <v>487</v>
      </c>
      <c r="B453" s="1" t="s">
        <v>38</v>
      </c>
      <c r="C453" s="1" t="s">
        <v>55</v>
      </c>
      <c r="D453" s="1" t="s">
        <v>11</v>
      </c>
      <c r="E453" s="1" t="s">
        <v>12</v>
      </c>
      <c r="F453">
        <v>19</v>
      </c>
      <c r="G453" s="2">
        <v>54000</v>
      </c>
      <c r="H453">
        <v>3</v>
      </c>
      <c r="I453" s="2">
        <f>_xlfn.XLOOKUP(employee_data[[#This Row],[Job_Title]],market_benchmarks[Job_Title],market_benchmarks[Market_Median],"Not Found")</f>
        <v>52000</v>
      </c>
      <c r="J453" s="3">
        <f>employee_data[[#This Row],[Current_Salary]]/employee_data[[#This Row],[Market_Median]]</f>
        <v>1.0384615384615385</v>
      </c>
      <c r="K453" s="2">
        <f>employee_data[[#This Row],[Current_Salary]]-employee_data[[#This Row],[Market_Median]]</f>
        <v>2000</v>
      </c>
      <c r="L453" s="3">
        <f>(employee_data[[#This Row],[Current_Salary]]-employee_data[[#This Row],[Market_Median]])/employee_data[[#This Row],[Market_Median]]</f>
        <v>3.8461538461538464E-2</v>
      </c>
      <c r="M453" t="str" cm="1">
        <f t="array" ref="M45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4" spans="1:13" x14ac:dyDescent="0.3">
      <c r="A454" s="1" t="s">
        <v>488</v>
      </c>
      <c r="B454" s="1" t="s">
        <v>38</v>
      </c>
      <c r="C454" s="1" t="s">
        <v>96</v>
      </c>
      <c r="D454" s="1" t="s">
        <v>16</v>
      </c>
      <c r="E454" s="1" t="s">
        <v>12</v>
      </c>
      <c r="F454">
        <v>12</v>
      </c>
      <c r="G454" s="2">
        <v>98400</v>
      </c>
      <c r="H454">
        <v>4</v>
      </c>
      <c r="I454" s="2">
        <f>_xlfn.XLOOKUP(employee_data[[#This Row],[Job_Title]],market_benchmarks[Job_Title],market_benchmarks[Market_Median],"Not Found")</f>
        <v>88000</v>
      </c>
      <c r="J454" s="3">
        <f>employee_data[[#This Row],[Current_Salary]]/employee_data[[#This Row],[Market_Median]]</f>
        <v>1.1181818181818182</v>
      </c>
      <c r="K454" s="2">
        <f>employee_data[[#This Row],[Current_Salary]]-employee_data[[#This Row],[Market_Median]]</f>
        <v>10400</v>
      </c>
      <c r="L454" s="3">
        <f>(employee_data[[#This Row],[Current_Salary]]-employee_data[[#This Row],[Market_Median]])/employee_data[[#This Row],[Market_Median]]</f>
        <v>0.11818181818181818</v>
      </c>
      <c r="M454" t="str" cm="1">
        <f t="array" ref="M454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55" spans="1:13" x14ac:dyDescent="0.3">
      <c r="A455" s="1" t="s">
        <v>489</v>
      </c>
      <c r="B455" s="1" t="s">
        <v>22</v>
      </c>
      <c r="C455" s="1" t="s">
        <v>23</v>
      </c>
      <c r="D455" s="1" t="s">
        <v>11</v>
      </c>
      <c r="E455" s="1" t="s">
        <v>12</v>
      </c>
      <c r="F455">
        <v>12</v>
      </c>
      <c r="G455" s="2">
        <v>55900</v>
      </c>
      <c r="H455">
        <v>4</v>
      </c>
      <c r="I455" s="2">
        <f>_xlfn.XLOOKUP(employee_data[[#This Row],[Job_Title]],market_benchmarks[Job_Title],market_benchmarks[Market_Median],"Not Found")</f>
        <v>50000</v>
      </c>
      <c r="J455" s="3">
        <f>employee_data[[#This Row],[Current_Salary]]/employee_data[[#This Row],[Market_Median]]</f>
        <v>1.1180000000000001</v>
      </c>
      <c r="K455" s="2">
        <f>employee_data[[#This Row],[Current_Salary]]-employee_data[[#This Row],[Market_Median]]</f>
        <v>5900</v>
      </c>
      <c r="L455" s="3">
        <f>(employee_data[[#This Row],[Current_Salary]]-employee_data[[#This Row],[Market_Median]])/employee_data[[#This Row],[Market_Median]]</f>
        <v>0.11799999999999999</v>
      </c>
      <c r="M455" t="str" cm="1">
        <f t="array" ref="M455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56" spans="1:13" x14ac:dyDescent="0.3">
      <c r="A456" s="1" t="s">
        <v>490</v>
      </c>
      <c r="B456" s="1" t="s">
        <v>14</v>
      </c>
      <c r="C456" s="1" t="s">
        <v>65</v>
      </c>
      <c r="D456" s="1" t="s">
        <v>32</v>
      </c>
      <c r="E456" s="1" t="s">
        <v>12</v>
      </c>
      <c r="F456">
        <v>2</v>
      </c>
      <c r="G456" s="2">
        <v>68100</v>
      </c>
      <c r="H456">
        <v>3</v>
      </c>
      <c r="I456" s="2">
        <f>_xlfn.XLOOKUP(employee_data[[#This Row],[Job_Title]],market_benchmarks[Job_Title],market_benchmarks[Market_Median],"Not Found")</f>
        <v>68000</v>
      </c>
      <c r="J456" s="3">
        <f>employee_data[[#This Row],[Current_Salary]]/employee_data[[#This Row],[Market_Median]]</f>
        <v>1.0014705882352941</v>
      </c>
      <c r="K456" s="2">
        <f>employee_data[[#This Row],[Current_Salary]]-employee_data[[#This Row],[Market_Median]]</f>
        <v>100</v>
      </c>
      <c r="L456" s="3">
        <f>(employee_data[[#This Row],[Current_Salary]]-employee_data[[#This Row],[Market_Median]])/employee_data[[#This Row],[Market_Median]]</f>
        <v>1.4705882352941176E-3</v>
      </c>
      <c r="M456" t="str" cm="1">
        <f t="array" ref="M45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7" spans="1:13" x14ac:dyDescent="0.3">
      <c r="A457" s="1" t="s">
        <v>491</v>
      </c>
      <c r="B457" s="1" t="s">
        <v>38</v>
      </c>
      <c r="C457" s="1" t="s">
        <v>55</v>
      </c>
      <c r="D457" s="1" t="s">
        <v>11</v>
      </c>
      <c r="E457" s="1" t="s">
        <v>12</v>
      </c>
      <c r="F457">
        <v>3</v>
      </c>
      <c r="G457" s="2">
        <v>46600</v>
      </c>
      <c r="H457">
        <v>2</v>
      </c>
      <c r="I457" s="2">
        <f>_xlfn.XLOOKUP(employee_data[[#This Row],[Job_Title]],market_benchmarks[Job_Title],market_benchmarks[Market_Median],"Not Found")</f>
        <v>52000</v>
      </c>
      <c r="J457" s="3">
        <f>employee_data[[#This Row],[Current_Salary]]/employee_data[[#This Row],[Market_Median]]</f>
        <v>0.89615384615384619</v>
      </c>
      <c r="K457" s="2">
        <f>employee_data[[#This Row],[Current_Salary]]-employee_data[[#This Row],[Market_Median]]</f>
        <v>-5400</v>
      </c>
      <c r="L457" s="3">
        <f>(employee_data[[#This Row],[Current_Salary]]-employee_data[[#This Row],[Market_Median]])/employee_data[[#This Row],[Market_Median]]</f>
        <v>-0.10384615384615385</v>
      </c>
      <c r="M457" t="str" cm="1">
        <f t="array" ref="M45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58" spans="1:13" x14ac:dyDescent="0.3">
      <c r="A458" s="1" t="s">
        <v>492</v>
      </c>
      <c r="B458" s="1" t="s">
        <v>9</v>
      </c>
      <c r="C458" s="1" t="s">
        <v>60</v>
      </c>
      <c r="D458" s="1" t="s">
        <v>32</v>
      </c>
      <c r="E458" s="1" t="s">
        <v>12</v>
      </c>
      <c r="F458">
        <v>6</v>
      </c>
      <c r="G458" s="2">
        <v>74900</v>
      </c>
      <c r="H458">
        <v>5</v>
      </c>
      <c r="I458" s="2">
        <f>_xlfn.XLOOKUP(employee_data[[#This Row],[Job_Title]],market_benchmarks[Job_Title],market_benchmarks[Market_Median],"Not Found")</f>
        <v>78000</v>
      </c>
      <c r="J458" s="3">
        <f>employee_data[[#This Row],[Current_Salary]]/employee_data[[#This Row],[Market_Median]]</f>
        <v>0.96025641025641029</v>
      </c>
      <c r="K458" s="2">
        <f>employee_data[[#This Row],[Current_Salary]]-employee_data[[#This Row],[Market_Median]]</f>
        <v>-3100</v>
      </c>
      <c r="L458" s="3">
        <f>(employee_data[[#This Row],[Current_Salary]]-employee_data[[#This Row],[Market_Median]])/employee_data[[#This Row],[Market_Median]]</f>
        <v>-3.9743589743589741E-2</v>
      </c>
      <c r="M458" t="str" cm="1">
        <f t="array" ref="M45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59" spans="1:13" x14ac:dyDescent="0.3">
      <c r="A459" s="1" t="s">
        <v>493</v>
      </c>
      <c r="B459" s="1" t="s">
        <v>9</v>
      </c>
      <c r="C459" s="1" t="s">
        <v>60</v>
      </c>
      <c r="D459" s="1" t="s">
        <v>32</v>
      </c>
      <c r="E459" s="1" t="s">
        <v>12</v>
      </c>
      <c r="F459">
        <v>8</v>
      </c>
      <c r="G459" s="2">
        <v>75200</v>
      </c>
      <c r="H459">
        <v>3</v>
      </c>
      <c r="I459" s="2">
        <f>_xlfn.XLOOKUP(employee_data[[#This Row],[Job_Title]],market_benchmarks[Job_Title],market_benchmarks[Market_Median],"Not Found")</f>
        <v>78000</v>
      </c>
      <c r="J459" s="3">
        <f>employee_data[[#This Row],[Current_Salary]]/employee_data[[#This Row],[Market_Median]]</f>
        <v>0.96410256410256412</v>
      </c>
      <c r="K459" s="2">
        <f>employee_data[[#This Row],[Current_Salary]]-employee_data[[#This Row],[Market_Median]]</f>
        <v>-2800</v>
      </c>
      <c r="L459" s="3">
        <f>(employee_data[[#This Row],[Current_Salary]]-employee_data[[#This Row],[Market_Median]])/employee_data[[#This Row],[Market_Median]]</f>
        <v>-3.5897435897435895E-2</v>
      </c>
      <c r="M459" t="str" cm="1">
        <f t="array" ref="M459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60" spans="1:13" x14ac:dyDescent="0.3">
      <c r="A460" s="1" t="s">
        <v>494</v>
      </c>
      <c r="B460" s="1" t="s">
        <v>9</v>
      </c>
      <c r="C460" s="1" t="s">
        <v>10</v>
      </c>
      <c r="D460" s="1" t="s">
        <v>11</v>
      </c>
      <c r="E460" s="1" t="s">
        <v>12</v>
      </c>
      <c r="F460">
        <v>19</v>
      </c>
      <c r="G460" s="2">
        <v>54500</v>
      </c>
      <c r="H460">
        <v>4</v>
      </c>
      <c r="I460" s="2">
        <f>_xlfn.XLOOKUP(employee_data[[#This Row],[Job_Title]],market_benchmarks[Job_Title],market_benchmarks[Market_Median],"Not Found")</f>
        <v>58000</v>
      </c>
      <c r="J460" s="3">
        <f>employee_data[[#This Row],[Current_Salary]]/employee_data[[#This Row],[Market_Median]]</f>
        <v>0.93965517241379315</v>
      </c>
      <c r="K460" s="2">
        <f>employee_data[[#This Row],[Current_Salary]]-employee_data[[#This Row],[Market_Median]]</f>
        <v>-3500</v>
      </c>
      <c r="L460" s="3">
        <f>(employee_data[[#This Row],[Current_Salary]]-employee_data[[#This Row],[Market_Median]])/employee_data[[#This Row],[Market_Median]]</f>
        <v>-6.0344827586206899E-2</v>
      </c>
      <c r="M460" t="str" cm="1">
        <f t="array" ref="M46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1" spans="1:13" x14ac:dyDescent="0.3">
      <c r="A461" s="1" t="s">
        <v>495</v>
      </c>
      <c r="B461" s="1" t="s">
        <v>9</v>
      </c>
      <c r="C461" s="1" t="s">
        <v>25</v>
      </c>
      <c r="D461" s="1" t="s">
        <v>16</v>
      </c>
      <c r="E461" s="1" t="s">
        <v>12</v>
      </c>
      <c r="F461">
        <v>2</v>
      </c>
      <c r="G461" s="2">
        <v>91100</v>
      </c>
      <c r="H461">
        <v>3</v>
      </c>
      <c r="I461" s="2">
        <f>_xlfn.XLOOKUP(employee_data[[#This Row],[Job_Title]],market_benchmarks[Job_Title],market_benchmarks[Market_Median],"Not Found")</f>
        <v>98000</v>
      </c>
      <c r="J461" s="3">
        <f>employee_data[[#This Row],[Current_Salary]]/employee_data[[#This Row],[Market_Median]]</f>
        <v>0.92959183673469392</v>
      </c>
      <c r="K461" s="2">
        <f>employee_data[[#This Row],[Current_Salary]]-employee_data[[#This Row],[Market_Median]]</f>
        <v>-6900</v>
      </c>
      <c r="L461" s="3">
        <f>(employee_data[[#This Row],[Current_Salary]]-employee_data[[#This Row],[Market_Median]])/employee_data[[#This Row],[Market_Median]]</f>
        <v>-7.040816326530612E-2</v>
      </c>
      <c r="M461" t="str" cm="1">
        <f t="array" ref="M461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2" spans="1:13" x14ac:dyDescent="0.3">
      <c r="A462" s="1" t="s">
        <v>496</v>
      </c>
      <c r="B462" s="1" t="s">
        <v>22</v>
      </c>
      <c r="C462" s="1" t="s">
        <v>36</v>
      </c>
      <c r="D462" s="1" t="s">
        <v>32</v>
      </c>
      <c r="E462" s="1" t="s">
        <v>12</v>
      </c>
      <c r="F462">
        <v>15</v>
      </c>
      <c r="G462" s="2">
        <v>72500</v>
      </c>
      <c r="H462">
        <v>3</v>
      </c>
      <c r="I462" s="2">
        <f>_xlfn.XLOOKUP(employee_data[[#This Row],[Job_Title]],market_benchmarks[Job_Title],market_benchmarks[Market_Median],"Not Found")</f>
        <v>68000</v>
      </c>
      <c r="J462" s="3">
        <f>employee_data[[#This Row],[Current_Salary]]/employee_data[[#This Row],[Market_Median]]</f>
        <v>1.0661764705882353</v>
      </c>
      <c r="K462" s="2">
        <f>employee_data[[#This Row],[Current_Salary]]-employee_data[[#This Row],[Market_Median]]</f>
        <v>4500</v>
      </c>
      <c r="L462" s="3">
        <f>(employee_data[[#This Row],[Current_Salary]]-employee_data[[#This Row],[Market_Median]])/employee_data[[#This Row],[Market_Median]]</f>
        <v>6.6176470588235295E-2</v>
      </c>
      <c r="M462" t="str" cm="1">
        <f t="array" ref="M46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63" spans="1:13" x14ac:dyDescent="0.3">
      <c r="A463" s="1" t="s">
        <v>497</v>
      </c>
      <c r="B463" s="1" t="s">
        <v>22</v>
      </c>
      <c r="C463" s="1" t="s">
        <v>23</v>
      </c>
      <c r="D463" s="1" t="s">
        <v>11</v>
      </c>
      <c r="E463" s="1" t="s">
        <v>12</v>
      </c>
      <c r="F463">
        <v>12</v>
      </c>
      <c r="G463" s="2">
        <v>46300</v>
      </c>
      <c r="H463">
        <v>4</v>
      </c>
      <c r="I463" s="2">
        <f>_xlfn.XLOOKUP(employee_data[[#This Row],[Job_Title]],market_benchmarks[Job_Title],market_benchmarks[Market_Median],"Not Found")</f>
        <v>50000</v>
      </c>
      <c r="J463" s="3">
        <f>employee_data[[#This Row],[Current_Salary]]/employee_data[[#This Row],[Market_Median]]</f>
        <v>0.92600000000000005</v>
      </c>
      <c r="K463" s="2">
        <f>employee_data[[#This Row],[Current_Salary]]-employee_data[[#This Row],[Market_Median]]</f>
        <v>-3700</v>
      </c>
      <c r="L463" s="3">
        <f>(employee_data[[#This Row],[Current_Salary]]-employee_data[[#This Row],[Market_Median]])/employee_data[[#This Row],[Market_Median]]</f>
        <v>-7.3999999999999996E-2</v>
      </c>
      <c r="M463" t="str" cm="1">
        <f t="array" ref="M463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4" spans="1:13" x14ac:dyDescent="0.3">
      <c r="A464" s="1" t="s">
        <v>498</v>
      </c>
      <c r="B464" s="1" t="s">
        <v>14</v>
      </c>
      <c r="C464" s="1" t="s">
        <v>65</v>
      </c>
      <c r="D464" s="1" t="s">
        <v>32</v>
      </c>
      <c r="E464" s="1" t="s">
        <v>12</v>
      </c>
      <c r="F464">
        <v>10</v>
      </c>
      <c r="G464" s="2">
        <v>48100</v>
      </c>
      <c r="H464">
        <v>2</v>
      </c>
      <c r="I464" s="2">
        <f>_xlfn.XLOOKUP(employee_data[[#This Row],[Job_Title]],market_benchmarks[Job_Title],market_benchmarks[Market_Median],"Not Found")</f>
        <v>68000</v>
      </c>
      <c r="J464" s="3">
        <f>employee_data[[#This Row],[Current_Salary]]/employee_data[[#This Row],[Market_Median]]</f>
        <v>0.70735294117647063</v>
      </c>
      <c r="K464" s="2">
        <f>employee_data[[#This Row],[Current_Salary]]-employee_data[[#This Row],[Market_Median]]</f>
        <v>-19900</v>
      </c>
      <c r="L464" s="3">
        <f>(employee_data[[#This Row],[Current_Salary]]-employee_data[[#This Row],[Market_Median]])/employee_data[[#This Row],[Market_Median]]</f>
        <v>-0.29264705882352943</v>
      </c>
      <c r="M464" t="str" cm="1">
        <f t="array" ref="M46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65" spans="1:13" x14ac:dyDescent="0.3">
      <c r="A465" s="1" t="s">
        <v>499</v>
      </c>
      <c r="B465" s="1" t="s">
        <v>22</v>
      </c>
      <c r="C465" s="1" t="s">
        <v>41</v>
      </c>
      <c r="D465" s="1" t="s">
        <v>16</v>
      </c>
      <c r="E465" s="1" t="s">
        <v>12</v>
      </c>
      <c r="F465">
        <v>14</v>
      </c>
      <c r="G465" s="2">
        <v>88300</v>
      </c>
      <c r="H465">
        <v>1</v>
      </c>
      <c r="I465" s="2">
        <f>_xlfn.XLOOKUP(employee_data[[#This Row],[Job_Title]],market_benchmarks[Job_Title],market_benchmarks[Market_Median],"Not Found")</f>
        <v>85000</v>
      </c>
      <c r="J465" s="3">
        <f>employee_data[[#This Row],[Current_Salary]]/employee_data[[#This Row],[Market_Median]]</f>
        <v>1.0388235294117647</v>
      </c>
      <c r="K465" s="2">
        <f>employee_data[[#This Row],[Current_Salary]]-employee_data[[#This Row],[Market_Median]]</f>
        <v>3300</v>
      </c>
      <c r="L465" s="3">
        <f>(employee_data[[#This Row],[Current_Salary]]-employee_data[[#This Row],[Market_Median]])/employee_data[[#This Row],[Market_Median]]</f>
        <v>3.8823529411764708E-2</v>
      </c>
      <c r="M465" t="str" cm="1">
        <f t="array" ref="M46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66" spans="1:13" x14ac:dyDescent="0.3">
      <c r="A466" s="1" t="s">
        <v>500</v>
      </c>
      <c r="B466" s="1" t="s">
        <v>14</v>
      </c>
      <c r="C466" s="1" t="s">
        <v>15</v>
      </c>
      <c r="D466" s="1" t="s">
        <v>16</v>
      </c>
      <c r="E466" s="1" t="s">
        <v>12</v>
      </c>
      <c r="F466">
        <v>15</v>
      </c>
      <c r="G466" s="2">
        <v>77000</v>
      </c>
      <c r="H466">
        <v>5</v>
      </c>
      <c r="I466" s="2">
        <f>_xlfn.XLOOKUP(employee_data[[#This Row],[Job_Title]],market_benchmarks[Job_Title],market_benchmarks[Market_Median],"Not Found")</f>
        <v>82000</v>
      </c>
      <c r="J466" s="3">
        <f>employee_data[[#This Row],[Current_Salary]]/employee_data[[#This Row],[Market_Median]]</f>
        <v>0.93902439024390238</v>
      </c>
      <c r="K466" s="2">
        <f>employee_data[[#This Row],[Current_Salary]]-employee_data[[#This Row],[Market_Median]]</f>
        <v>-5000</v>
      </c>
      <c r="L466" s="3">
        <f>(employee_data[[#This Row],[Current_Salary]]-employee_data[[#This Row],[Market_Median]])/employee_data[[#This Row],[Market_Median]]</f>
        <v>-6.097560975609756E-2</v>
      </c>
      <c r="M466" t="str" cm="1">
        <f t="array" ref="M466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7" spans="1:13" x14ac:dyDescent="0.3">
      <c r="A467" s="1" t="s">
        <v>501</v>
      </c>
      <c r="B467" s="1" t="s">
        <v>22</v>
      </c>
      <c r="C467" s="1" t="s">
        <v>23</v>
      </c>
      <c r="D467" s="1" t="s">
        <v>11</v>
      </c>
      <c r="E467" s="1" t="s">
        <v>12</v>
      </c>
      <c r="F467">
        <v>4</v>
      </c>
      <c r="G467" s="2">
        <v>44500</v>
      </c>
      <c r="H467">
        <v>5</v>
      </c>
      <c r="I467" s="2">
        <f>_xlfn.XLOOKUP(employee_data[[#This Row],[Job_Title]],market_benchmarks[Job_Title],market_benchmarks[Market_Median],"Not Found")</f>
        <v>50000</v>
      </c>
      <c r="J467" s="3">
        <f>employee_data[[#This Row],[Current_Salary]]/employee_data[[#This Row],[Market_Median]]</f>
        <v>0.89</v>
      </c>
      <c r="K467" s="2">
        <f>employee_data[[#This Row],[Current_Salary]]-employee_data[[#This Row],[Market_Median]]</f>
        <v>-5500</v>
      </c>
      <c r="L467" s="3">
        <f>(employee_data[[#This Row],[Current_Salary]]-employee_data[[#This Row],[Market_Median]])/employee_data[[#This Row],[Market_Median]]</f>
        <v>-0.11</v>
      </c>
      <c r="M467" t="str" cm="1">
        <f t="array" ref="M46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8" spans="1:13" x14ac:dyDescent="0.3">
      <c r="A468" s="1" t="s">
        <v>502</v>
      </c>
      <c r="B468" s="1" t="s">
        <v>38</v>
      </c>
      <c r="C468" s="1" t="s">
        <v>55</v>
      </c>
      <c r="D468" s="1" t="s">
        <v>11</v>
      </c>
      <c r="E468" s="1" t="s">
        <v>12</v>
      </c>
      <c r="F468">
        <v>2</v>
      </c>
      <c r="G468" s="2">
        <v>46500</v>
      </c>
      <c r="H468">
        <v>4</v>
      </c>
      <c r="I468" s="2">
        <f>_xlfn.XLOOKUP(employee_data[[#This Row],[Job_Title]],market_benchmarks[Job_Title],market_benchmarks[Market_Median],"Not Found")</f>
        <v>52000</v>
      </c>
      <c r="J468" s="3">
        <f>employee_data[[#This Row],[Current_Salary]]/employee_data[[#This Row],[Market_Median]]</f>
        <v>0.89423076923076927</v>
      </c>
      <c r="K468" s="2">
        <f>employee_data[[#This Row],[Current_Salary]]-employee_data[[#This Row],[Market_Median]]</f>
        <v>-5500</v>
      </c>
      <c r="L468" s="3">
        <f>(employee_data[[#This Row],[Current_Salary]]-employee_data[[#This Row],[Market_Median]])/employee_data[[#This Row],[Market_Median]]</f>
        <v>-0.10576923076923077</v>
      </c>
      <c r="M468" t="str" cm="1">
        <f t="array" ref="M46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69" spans="1:13" x14ac:dyDescent="0.3">
      <c r="A469" s="1" t="s">
        <v>503</v>
      </c>
      <c r="B469" s="1" t="s">
        <v>14</v>
      </c>
      <c r="C469" s="1" t="s">
        <v>48</v>
      </c>
      <c r="D469" s="1" t="s">
        <v>11</v>
      </c>
      <c r="E469" s="1" t="s">
        <v>12</v>
      </c>
      <c r="F469">
        <v>20</v>
      </c>
      <c r="G469" s="2">
        <v>42200</v>
      </c>
      <c r="H469">
        <v>3</v>
      </c>
      <c r="I469" s="2">
        <f>_xlfn.XLOOKUP(employee_data[[#This Row],[Job_Title]],market_benchmarks[Job_Title],market_benchmarks[Market_Median],"Not Found")</f>
        <v>50000</v>
      </c>
      <c r="J469" s="3">
        <f>employee_data[[#This Row],[Current_Salary]]/employee_data[[#This Row],[Market_Median]]</f>
        <v>0.84399999999999997</v>
      </c>
      <c r="K469" s="2">
        <f>employee_data[[#This Row],[Current_Salary]]-employee_data[[#This Row],[Market_Median]]</f>
        <v>-7800</v>
      </c>
      <c r="L469" s="3">
        <f>(employee_data[[#This Row],[Current_Salary]]-employee_data[[#This Row],[Market_Median]])/employee_data[[#This Row],[Market_Median]]</f>
        <v>-0.156</v>
      </c>
      <c r="M469" t="str" cm="1">
        <f t="array" ref="M469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70" spans="1:13" x14ac:dyDescent="0.3">
      <c r="A470" s="1" t="s">
        <v>504</v>
      </c>
      <c r="B470" s="1" t="s">
        <v>30</v>
      </c>
      <c r="C470" s="1" t="s">
        <v>53</v>
      </c>
      <c r="D470" s="1" t="s">
        <v>11</v>
      </c>
      <c r="E470" s="1" t="s">
        <v>12</v>
      </c>
      <c r="F470">
        <v>8</v>
      </c>
      <c r="G470" s="2">
        <v>42700</v>
      </c>
      <c r="H470">
        <v>1</v>
      </c>
      <c r="I470" s="2">
        <f>_xlfn.XLOOKUP(employee_data[[#This Row],[Job_Title]],market_benchmarks[Job_Title],market_benchmarks[Market_Median],"Not Found")</f>
        <v>48000</v>
      </c>
      <c r="J470" s="3">
        <f>employee_data[[#This Row],[Current_Salary]]/employee_data[[#This Row],[Market_Median]]</f>
        <v>0.88958333333333328</v>
      </c>
      <c r="K470" s="2">
        <f>employee_data[[#This Row],[Current_Salary]]-employee_data[[#This Row],[Market_Median]]</f>
        <v>-5300</v>
      </c>
      <c r="L470" s="3">
        <f>(employee_data[[#This Row],[Current_Salary]]-employee_data[[#This Row],[Market_Median]])/employee_data[[#This Row],[Market_Median]]</f>
        <v>-0.11041666666666666</v>
      </c>
      <c r="M470" t="str" cm="1">
        <f t="array" ref="M47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71" spans="1:13" x14ac:dyDescent="0.3">
      <c r="A471" s="1" t="s">
        <v>505</v>
      </c>
      <c r="B471" s="1" t="s">
        <v>30</v>
      </c>
      <c r="C471" s="1" t="s">
        <v>76</v>
      </c>
      <c r="D471" s="1" t="s">
        <v>16</v>
      </c>
      <c r="E471" s="1" t="s">
        <v>12</v>
      </c>
      <c r="F471">
        <v>0</v>
      </c>
      <c r="G471" s="2">
        <v>80100</v>
      </c>
      <c r="H471">
        <v>3</v>
      </c>
      <c r="I471" s="2">
        <f>_xlfn.XLOOKUP(employee_data[[#This Row],[Job_Title]],market_benchmarks[Job_Title],market_benchmarks[Market_Median],"Not Found")</f>
        <v>72000</v>
      </c>
      <c r="J471" s="3">
        <f>employee_data[[#This Row],[Current_Salary]]/employee_data[[#This Row],[Market_Median]]</f>
        <v>1.1125</v>
      </c>
      <c r="K471" s="2">
        <f>employee_data[[#This Row],[Current_Salary]]-employee_data[[#This Row],[Market_Median]]</f>
        <v>8100</v>
      </c>
      <c r="L471" s="3">
        <f>(employee_data[[#This Row],[Current_Salary]]-employee_data[[#This Row],[Market_Median]])/employee_data[[#This Row],[Market_Median]]</f>
        <v>0.1125</v>
      </c>
      <c r="M471" t="str" cm="1">
        <f t="array" ref="M471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72" spans="1:13" x14ac:dyDescent="0.3">
      <c r="A472" s="1" t="s">
        <v>506</v>
      </c>
      <c r="B472" s="1" t="s">
        <v>18</v>
      </c>
      <c r="C472" s="1" t="s">
        <v>28</v>
      </c>
      <c r="D472" s="1" t="s">
        <v>11</v>
      </c>
      <c r="E472" s="1" t="s">
        <v>12</v>
      </c>
      <c r="F472">
        <v>1</v>
      </c>
      <c r="G472" s="2">
        <v>56900</v>
      </c>
      <c r="H472">
        <v>3</v>
      </c>
      <c r="I472" s="2">
        <f>_xlfn.XLOOKUP(employee_data[[#This Row],[Job_Title]],market_benchmarks[Job_Title],market_benchmarks[Market_Median],"Not Found")</f>
        <v>52000</v>
      </c>
      <c r="J472" s="3">
        <f>employee_data[[#This Row],[Current_Salary]]/employee_data[[#This Row],[Market_Median]]</f>
        <v>1.0942307692307693</v>
      </c>
      <c r="K472" s="2">
        <f>employee_data[[#This Row],[Current_Salary]]-employee_data[[#This Row],[Market_Median]]</f>
        <v>4900</v>
      </c>
      <c r="L472" s="3">
        <f>(employee_data[[#This Row],[Current_Salary]]-employee_data[[#This Row],[Market_Median]])/employee_data[[#This Row],[Market_Median]]</f>
        <v>9.4230769230769229E-2</v>
      </c>
      <c r="M472" t="str" cm="1">
        <f t="array" ref="M47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73" spans="1:13" x14ac:dyDescent="0.3">
      <c r="A473" s="1" t="s">
        <v>507</v>
      </c>
      <c r="B473" s="1" t="s">
        <v>30</v>
      </c>
      <c r="C473" s="1" t="s">
        <v>53</v>
      </c>
      <c r="D473" s="1" t="s">
        <v>11</v>
      </c>
      <c r="E473" s="1" t="s">
        <v>12</v>
      </c>
      <c r="F473">
        <v>1</v>
      </c>
      <c r="G473" s="2">
        <v>46600</v>
      </c>
      <c r="H473">
        <v>2</v>
      </c>
      <c r="I473" s="2">
        <f>_xlfn.XLOOKUP(employee_data[[#This Row],[Job_Title]],market_benchmarks[Job_Title],market_benchmarks[Market_Median],"Not Found")</f>
        <v>48000</v>
      </c>
      <c r="J473" s="3">
        <f>employee_data[[#This Row],[Current_Salary]]/employee_data[[#This Row],[Market_Median]]</f>
        <v>0.97083333333333333</v>
      </c>
      <c r="K473" s="2">
        <f>employee_data[[#This Row],[Current_Salary]]-employee_data[[#This Row],[Market_Median]]</f>
        <v>-1400</v>
      </c>
      <c r="L473" s="3">
        <f>(employee_data[[#This Row],[Current_Salary]]-employee_data[[#This Row],[Market_Median]])/employee_data[[#This Row],[Market_Median]]</f>
        <v>-2.9166666666666667E-2</v>
      </c>
      <c r="M473" t="str" cm="1">
        <f t="array" ref="M473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74" spans="1:13" x14ac:dyDescent="0.3">
      <c r="A474" s="1" t="s">
        <v>508</v>
      </c>
      <c r="B474" s="1" t="s">
        <v>22</v>
      </c>
      <c r="C474" s="1" t="s">
        <v>36</v>
      </c>
      <c r="D474" s="1" t="s">
        <v>32</v>
      </c>
      <c r="E474" s="1" t="s">
        <v>12</v>
      </c>
      <c r="F474">
        <v>0</v>
      </c>
      <c r="G474" s="2">
        <v>67300</v>
      </c>
      <c r="H474">
        <v>3</v>
      </c>
      <c r="I474" s="2">
        <f>_xlfn.XLOOKUP(employee_data[[#This Row],[Job_Title]],market_benchmarks[Job_Title],market_benchmarks[Market_Median],"Not Found")</f>
        <v>68000</v>
      </c>
      <c r="J474" s="3">
        <f>employee_data[[#This Row],[Current_Salary]]/employee_data[[#This Row],[Market_Median]]</f>
        <v>0.98970588235294121</v>
      </c>
      <c r="K474" s="2">
        <f>employee_data[[#This Row],[Current_Salary]]-employee_data[[#This Row],[Market_Median]]</f>
        <v>-700</v>
      </c>
      <c r="L474" s="3">
        <f>(employee_data[[#This Row],[Current_Salary]]-employee_data[[#This Row],[Market_Median]])/employee_data[[#This Row],[Market_Median]]</f>
        <v>-1.0294117647058823E-2</v>
      </c>
      <c r="M474" t="str" cm="1">
        <f t="array" ref="M47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75" spans="1:13" x14ac:dyDescent="0.3">
      <c r="A475" s="1" t="s">
        <v>509</v>
      </c>
      <c r="B475" s="1" t="s">
        <v>30</v>
      </c>
      <c r="C475" s="1" t="s">
        <v>31</v>
      </c>
      <c r="D475" s="1" t="s">
        <v>32</v>
      </c>
      <c r="E475" s="1" t="s">
        <v>12</v>
      </c>
      <c r="F475">
        <v>9</v>
      </c>
      <c r="G475" s="2">
        <v>50000</v>
      </c>
      <c r="H475">
        <v>3</v>
      </c>
      <c r="I475" s="2">
        <f>_xlfn.XLOOKUP(employee_data[[#This Row],[Job_Title]],market_benchmarks[Job_Title],market_benchmarks[Market_Median],"Not Found")</f>
        <v>58000</v>
      </c>
      <c r="J475" s="3">
        <f>employee_data[[#This Row],[Current_Salary]]/employee_data[[#This Row],[Market_Median]]</f>
        <v>0.86206896551724133</v>
      </c>
      <c r="K475" s="2">
        <f>employee_data[[#This Row],[Current_Salary]]-employee_data[[#This Row],[Market_Median]]</f>
        <v>-8000</v>
      </c>
      <c r="L475" s="3">
        <f>(employee_data[[#This Row],[Current_Salary]]-employee_data[[#This Row],[Market_Median]])/employee_data[[#This Row],[Market_Median]]</f>
        <v>-0.13793103448275862</v>
      </c>
      <c r="M475" t="str" cm="1">
        <f t="array" ref="M47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76" spans="1:13" x14ac:dyDescent="0.3">
      <c r="A476" s="1" t="s">
        <v>510</v>
      </c>
      <c r="B476" s="1" t="s">
        <v>14</v>
      </c>
      <c r="C476" s="1" t="s">
        <v>48</v>
      </c>
      <c r="D476" s="1" t="s">
        <v>11</v>
      </c>
      <c r="E476" s="1" t="s">
        <v>12</v>
      </c>
      <c r="F476">
        <v>6</v>
      </c>
      <c r="G476" s="2">
        <v>47600</v>
      </c>
      <c r="H476">
        <v>3</v>
      </c>
      <c r="I476" s="2">
        <f>_xlfn.XLOOKUP(employee_data[[#This Row],[Job_Title]],market_benchmarks[Job_Title],market_benchmarks[Market_Median],"Not Found")</f>
        <v>50000</v>
      </c>
      <c r="J476" s="3">
        <f>employee_data[[#This Row],[Current_Salary]]/employee_data[[#This Row],[Market_Median]]</f>
        <v>0.95199999999999996</v>
      </c>
      <c r="K476" s="2">
        <f>employee_data[[#This Row],[Current_Salary]]-employee_data[[#This Row],[Market_Median]]</f>
        <v>-2400</v>
      </c>
      <c r="L476" s="3">
        <f>(employee_data[[#This Row],[Current_Salary]]-employee_data[[#This Row],[Market_Median]])/employee_data[[#This Row],[Market_Median]]</f>
        <v>-4.8000000000000001E-2</v>
      </c>
      <c r="M476" t="str" cm="1">
        <f t="array" ref="M476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77" spans="1:13" x14ac:dyDescent="0.3">
      <c r="A477" s="1" t="s">
        <v>511</v>
      </c>
      <c r="B477" s="1" t="s">
        <v>9</v>
      </c>
      <c r="C477" s="1" t="s">
        <v>25</v>
      </c>
      <c r="D477" s="1" t="s">
        <v>16</v>
      </c>
      <c r="E477" s="1" t="s">
        <v>12</v>
      </c>
      <c r="F477">
        <v>9</v>
      </c>
      <c r="G477" s="2">
        <v>86000</v>
      </c>
      <c r="H477">
        <v>5</v>
      </c>
      <c r="I477" s="2">
        <f>_xlfn.XLOOKUP(employee_data[[#This Row],[Job_Title]],market_benchmarks[Job_Title],market_benchmarks[Market_Median],"Not Found")</f>
        <v>98000</v>
      </c>
      <c r="J477" s="3">
        <f>employee_data[[#This Row],[Current_Salary]]/employee_data[[#This Row],[Market_Median]]</f>
        <v>0.87755102040816324</v>
      </c>
      <c r="K477" s="2">
        <f>employee_data[[#This Row],[Current_Salary]]-employee_data[[#This Row],[Market_Median]]</f>
        <v>-12000</v>
      </c>
      <c r="L477" s="3">
        <f>(employee_data[[#This Row],[Current_Salary]]-employee_data[[#This Row],[Market_Median]])/employee_data[[#This Row],[Market_Median]]</f>
        <v>-0.12244897959183673</v>
      </c>
      <c r="M477" t="str" cm="1">
        <f t="array" ref="M477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78" spans="1:13" x14ac:dyDescent="0.3">
      <c r="A478" s="1" t="s">
        <v>512</v>
      </c>
      <c r="B478" s="1" t="s">
        <v>14</v>
      </c>
      <c r="C478" s="1" t="s">
        <v>15</v>
      </c>
      <c r="D478" s="1" t="s">
        <v>16</v>
      </c>
      <c r="E478" s="1" t="s">
        <v>12</v>
      </c>
      <c r="F478">
        <v>16</v>
      </c>
      <c r="G478" s="2">
        <v>72100</v>
      </c>
      <c r="H478">
        <v>3</v>
      </c>
      <c r="I478" s="2">
        <f>_xlfn.XLOOKUP(employee_data[[#This Row],[Job_Title]],market_benchmarks[Job_Title],market_benchmarks[Market_Median],"Not Found")</f>
        <v>82000</v>
      </c>
      <c r="J478" s="3">
        <f>employee_data[[#This Row],[Current_Salary]]/employee_data[[#This Row],[Market_Median]]</f>
        <v>0.87926829268292683</v>
      </c>
      <c r="K478" s="2">
        <f>employee_data[[#This Row],[Current_Salary]]-employee_data[[#This Row],[Market_Median]]</f>
        <v>-9900</v>
      </c>
      <c r="L478" s="3">
        <f>(employee_data[[#This Row],[Current_Salary]]-employee_data[[#This Row],[Market_Median]])/employee_data[[#This Row],[Market_Median]]</f>
        <v>-0.12073170731707317</v>
      </c>
      <c r="M478" t="str" cm="1">
        <f t="array" ref="M47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79" spans="1:13" x14ac:dyDescent="0.3">
      <c r="A479" s="1" t="s">
        <v>513</v>
      </c>
      <c r="B479" s="1" t="s">
        <v>9</v>
      </c>
      <c r="C479" s="1" t="s">
        <v>60</v>
      </c>
      <c r="D479" s="1" t="s">
        <v>32</v>
      </c>
      <c r="E479" s="1" t="s">
        <v>12</v>
      </c>
      <c r="F479">
        <v>19</v>
      </c>
      <c r="G479" s="2">
        <v>70100</v>
      </c>
      <c r="H479">
        <v>3</v>
      </c>
      <c r="I479" s="2">
        <f>_xlfn.XLOOKUP(employee_data[[#This Row],[Job_Title]],market_benchmarks[Job_Title],market_benchmarks[Market_Median],"Not Found")</f>
        <v>78000</v>
      </c>
      <c r="J479" s="3">
        <f>employee_data[[#This Row],[Current_Salary]]/employee_data[[#This Row],[Market_Median]]</f>
        <v>0.89871794871794874</v>
      </c>
      <c r="K479" s="2">
        <f>employee_data[[#This Row],[Current_Salary]]-employee_data[[#This Row],[Market_Median]]</f>
        <v>-7900</v>
      </c>
      <c r="L479" s="3">
        <f>(employee_data[[#This Row],[Current_Salary]]-employee_data[[#This Row],[Market_Median]])/employee_data[[#This Row],[Market_Median]]</f>
        <v>-0.10128205128205128</v>
      </c>
      <c r="M479" t="str" cm="1">
        <f t="array" ref="M47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80" spans="1:13" x14ac:dyDescent="0.3">
      <c r="A480" s="1" t="s">
        <v>514</v>
      </c>
      <c r="B480" s="1" t="s">
        <v>18</v>
      </c>
      <c r="C480" s="1" t="s">
        <v>19</v>
      </c>
      <c r="D480" s="1" t="s">
        <v>16</v>
      </c>
      <c r="E480" s="1" t="s">
        <v>12</v>
      </c>
      <c r="F480">
        <v>19</v>
      </c>
      <c r="G480" s="2">
        <v>82900</v>
      </c>
      <c r="H480">
        <v>4</v>
      </c>
      <c r="I480" s="2">
        <f>_xlfn.XLOOKUP(employee_data[[#This Row],[Job_Title]],market_benchmarks[Job_Title],market_benchmarks[Market_Median],"Not Found")</f>
        <v>90000</v>
      </c>
      <c r="J480" s="3">
        <f>employee_data[[#This Row],[Current_Salary]]/employee_data[[#This Row],[Market_Median]]</f>
        <v>0.9211111111111111</v>
      </c>
      <c r="K480" s="2">
        <f>employee_data[[#This Row],[Current_Salary]]-employee_data[[#This Row],[Market_Median]]</f>
        <v>-7100</v>
      </c>
      <c r="L480" s="3">
        <f>(employee_data[[#This Row],[Current_Salary]]-employee_data[[#This Row],[Market_Median]])/employee_data[[#This Row],[Market_Median]]</f>
        <v>-7.8888888888888883E-2</v>
      </c>
      <c r="M480" t="str" cm="1">
        <f t="array" ref="M48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81" spans="1:13" x14ac:dyDescent="0.3">
      <c r="A481" s="1" t="s">
        <v>515</v>
      </c>
      <c r="B481" s="1" t="s">
        <v>38</v>
      </c>
      <c r="C481" s="1" t="s">
        <v>39</v>
      </c>
      <c r="D481" s="1" t="s">
        <v>32</v>
      </c>
      <c r="E481" s="1" t="s">
        <v>12</v>
      </c>
      <c r="F481">
        <v>16</v>
      </c>
      <c r="G481" s="2">
        <v>55600</v>
      </c>
      <c r="H481">
        <v>1</v>
      </c>
      <c r="I481" s="2">
        <f>_xlfn.XLOOKUP(employee_data[[#This Row],[Job_Title]],market_benchmarks[Job_Title],market_benchmarks[Market_Median],"Not Found")</f>
        <v>70000</v>
      </c>
      <c r="J481" s="3">
        <f>employee_data[[#This Row],[Current_Salary]]/employee_data[[#This Row],[Market_Median]]</f>
        <v>0.79428571428571426</v>
      </c>
      <c r="K481" s="2">
        <f>employee_data[[#This Row],[Current_Salary]]-employee_data[[#This Row],[Market_Median]]</f>
        <v>-14400</v>
      </c>
      <c r="L481" s="3">
        <f>(employee_data[[#This Row],[Current_Salary]]-employee_data[[#This Row],[Market_Median]])/employee_data[[#This Row],[Market_Median]]</f>
        <v>-0.20571428571428571</v>
      </c>
      <c r="M481" t="str" cm="1">
        <f t="array" ref="M481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82" spans="1:13" x14ac:dyDescent="0.3">
      <c r="A482" s="1" t="s">
        <v>516</v>
      </c>
      <c r="B482" s="1" t="s">
        <v>30</v>
      </c>
      <c r="C482" s="1" t="s">
        <v>31</v>
      </c>
      <c r="D482" s="1" t="s">
        <v>32</v>
      </c>
      <c r="E482" s="1" t="s">
        <v>12</v>
      </c>
      <c r="F482">
        <v>2</v>
      </c>
      <c r="G482" s="2">
        <v>54100</v>
      </c>
      <c r="H482">
        <v>5</v>
      </c>
      <c r="I482" s="2">
        <f>_xlfn.XLOOKUP(employee_data[[#This Row],[Job_Title]],market_benchmarks[Job_Title],market_benchmarks[Market_Median],"Not Found")</f>
        <v>58000</v>
      </c>
      <c r="J482" s="3">
        <f>employee_data[[#This Row],[Current_Salary]]/employee_data[[#This Row],[Market_Median]]</f>
        <v>0.9327586206896552</v>
      </c>
      <c r="K482" s="2">
        <f>employee_data[[#This Row],[Current_Salary]]-employee_data[[#This Row],[Market_Median]]</f>
        <v>-3900</v>
      </c>
      <c r="L482" s="3">
        <f>(employee_data[[#This Row],[Current_Salary]]-employee_data[[#This Row],[Market_Median]])/employee_data[[#This Row],[Market_Median]]</f>
        <v>-6.7241379310344823E-2</v>
      </c>
      <c r="M482" t="str" cm="1">
        <f t="array" ref="M482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83" spans="1:13" x14ac:dyDescent="0.3">
      <c r="A483" s="1" t="s">
        <v>517</v>
      </c>
      <c r="B483" s="1" t="s">
        <v>22</v>
      </c>
      <c r="C483" s="1" t="s">
        <v>41</v>
      </c>
      <c r="D483" s="1" t="s">
        <v>16</v>
      </c>
      <c r="E483" s="1" t="s">
        <v>12</v>
      </c>
      <c r="F483">
        <v>19</v>
      </c>
      <c r="G483" s="2">
        <v>107900</v>
      </c>
      <c r="H483">
        <v>3</v>
      </c>
      <c r="I483" s="2">
        <f>_xlfn.XLOOKUP(employee_data[[#This Row],[Job_Title]],market_benchmarks[Job_Title],market_benchmarks[Market_Median],"Not Found")</f>
        <v>85000</v>
      </c>
      <c r="J483" s="3">
        <f>employee_data[[#This Row],[Current_Salary]]/employee_data[[#This Row],[Market_Median]]</f>
        <v>1.2694117647058825</v>
      </c>
      <c r="K483" s="2">
        <f>employee_data[[#This Row],[Current_Salary]]-employee_data[[#This Row],[Market_Median]]</f>
        <v>22900</v>
      </c>
      <c r="L483" s="3">
        <f>(employee_data[[#This Row],[Current_Salary]]-employee_data[[#This Row],[Market_Median]])/employee_data[[#This Row],[Market_Median]]</f>
        <v>0.26941176470588235</v>
      </c>
      <c r="M483" t="str" cm="1">
        <f t="array" ref="M48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84" spans="1:13" x14ac:dyDescent="0.3">
      <c r="A484" s="1" t="s">
        <v>518</v>
      </c>
      <c r="B484" s="1" t="s">
        <v>14</v>
      </c>
      <c r="C484" s="1" t="s">
        <v>65</v>
      </c>
      <c r="D484" s="1" t="s">
        <v>32</v>
      </c>
      <c r="E484" s="1" t="s">
        <v>12</v>
      </c>
      <c r="F484">
        <v>10</v>
      </c>
      <c r="G484" s="2">
        <v>52200</v>
      </c>
      <c r="H484">
        <v>4</v>
      </c>
      <c r="I484" s="2">
        <f>_xlfn.XLOOKUP(employee_data[[#This Row],[Job_Title]],market_benchmarks[Job_Title],market_benchmarks[Market_Median],"Not Found")</f>
        <v>68000</v>
      </c>
      <c r="J484" s="3">
        <f>employee_data[[#This Row],[Current_Salary]]/employee_data[[#This Row],[Market_Median]]</f>
        <v>0.76764705882352946</v>
      </c>
      <c r="K484" s="2">
        <f>employee_data[[#This Row],[Current_Salary]]-employee_data[[#This Row],[Market_Median]]</f>
        <v>-15800</v>
      </c>
      <c r="L484" s="3">
        <f>(employee_data[[#This Row],[Current_Salary]]-employee_data[[#This Row],[Market_Median]])/employee_data[[#This Row],[Market_Median]]</f>
        <v>-0.2323529411764706</v>
      </c>
      <c r="M484" t="str" cm="1">
        <f t="array" ref="M484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85" spans="1:13" x14ac:dyDescent="0.3">
      <c r="A485" s="1" t="s">
        <v>519</v>
      </c>
      <c r="B485" s="1" t="s">
        <v>9</v>
      </c>
      <c r="C485" s="1" t="s">
        <v>10</v>
      </c>
      <c r="D485" s="1" t="s">
        <v>11</v>
      </c>
      <c r="E485" s="1" t="s">
        <v>12</v>
      </c>
      <c r="F485">
        <v>3</v>
      </c>
      <c r="G485" s="2">
        <v>56300</v>
      </c>
      <c r="H485">
        <v>3</v>
      </c>
      <c r="I485" s="2">
        <f>_xlfn.XLOOKUP(employee_data[[#This Row],[Job_Title]],market_benchmarks[Job_Title],market_benchmarks[Market_Median],"Not Found")</f>
        <v>58000</v>
      </c>
      <c r="J485" s="3">
        <f>employee_data[[#This Row],[Current_Salary]]/employee_data[[#This Row],[Market_Median]]</f>
        <v>0.97068965517241379</v>
      </c>
      <c r="K485" s="2">
        <f>employee_data[[#This Row],[Current_Salary]]-employee_data[[#This Row],[Market_Median]]</f>
        <v>-1700</v>
      </c>
      <c r="L485" s="3">
        <f>(employee_data[[#This Row],[Current_Salary]]-employee_data[[#This Row],[Market_Median]])/employee_data[[#This Row],[Market_Median]]</f>
        <v>-2.9310344827586206E-2</v>
      </c>
      <c r="M485" t="str" cm="1">
        <f t="array" ref="M485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86" spans="1:13" x14ac:dyDescent="0.3">
      <c r="A486" s="1" t="s">
        <v>520</v>
      </c>
      <c r="B486" s="1" t="s">
        <v>30</v>
      </c>
      <c r="C486" s="1" t="s">
        <v>76</v>
      </c>
      <c r="D486" s="1" t="s">
        <v>16</v>
      </c>
      <c r="E486" s="1" t="s">
        <v>12</v>
      </c>
      <c r="F486">
        <v>14</v>
      </c>
      <c r="G486" s="2">
        <v>59600</v>
      </c>
      <c r="H486">
        <v>5</v>
      </c>
      <c r="I486" s="2">
        <f>_xlfn.XLOOKUP(employee_data[[#This Row],[Job_Title]],market_benchmarks[Job_Title],market_benchmarks[Market_Median],"Not Found")</f>
        <v>72000</v>
      </c>
      <c r="J486" s="3">
        <f>employee_data[[#This Row],[Current_Salary]]/employee_data[[#This Row],[Market_Median]]</f>
        <v>0.82777777777777772</v>
      </c>
      <c r="K486" s="2">
        <f>employee_data[[#This Row],[Current_Salary]]-employee_data[[#This Row],[Market_Median]]</f>
        <v>-12400</v>
      </c>
      <c r="L486" s="3">
        <f>(employee_data[[#This Row],[Current_Salary]]-employee_data[[#This Row],[Market_Median]])/employee_data[[#This Row],[Market_Median]]</f>
        <v>-0.17222222222222222</v>
      </c>
      <c r="M486" t="str" cm="1">
        <f t="array" ref="M48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87" spans="1:13" x14ac:dyDescent="0.3">
      <c r="A487" s="1" t="s">
        <v>521</v>
      </c>
      <c r="B487" s="1" t="s">
        <v>9</v>
      </c>
      <c r="C487" s="1" t="s">
        <v>60</v>
      </c>
      <c r="D487" s="1" t="s">
        <v>32</v>
      </c>
      <c r="E487" s="1" t="s">
        <v>12</v>
      </c>
      <c r="F487">
        <v>11</v>
      </c>
      <c r="G487" s="2">
        <v>75000</v>
      </c>
      <c r="H487">
        <v>3</v>
      </c>
      <c r="I487" s="2">
        <f>_xlfn.XLOOKUP(employee_data[[#This Row],[Job_Title]],market_benchmarks[Job_Title],market_benchmarks[Market_Median],"Not Found")</f>
        <v>78000</v>
      </c>
      <c r="J487" s="3">
        <f>employee_data[[#This Row],[Current_Salary]]/employee_data[[#This Row],[Market_Median]]</f>
        <v>0.96153846153846156</v>
      </c>
      <c r="K487" s="2">
        <f>employee_data[[#This Row],[Current_Salary]]-employee_data[[#This Row],[Market_Median]]</f>
        <v>-3000</v>
      </c>
      <c r="L487" s="3">
        <f>(employee_data[[#This Row],[Current_Salary]]-employee_data[[#This Row],[Market_Median]])/employee_data[[#This Row],[Market_Median]]</f>
        <v>-3.8461538461538464E-2</v>
      </c>
      <c r="M487" t="str" cm="1">
        <f t="array" ref="M487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88" spans="1:13" x14ac:dyDescent="0.3">
      <c r="A488" s="1" t="s">
        <v>522</v>
      </c>
      <c r="B488" s="1" t="s">
        <v>14</v>
      </c>
      <c r="C488" s="1" t="s">
        <v>48</v>
      </c>
      <c r="D488" s="1" t="s">
        <v>11</v>
      </c>
      <c r="E488" s="1" t="s">
        <v>12</v>
      </c>
      <c r="F488">
        <v>2</v>
      </c>
      <c r="G488" s="2">
        <v>47600</v>
      </c>
      <c r="H488">
        <v>4</v>
      </c>
      <c r="I488" s="2">
        <f>_xlfn.XLOOKUP(employee_data[[#This Row],[Job_Title]],market_benchmarks[Job_Title],market_benchmarks[Market_Median],"Not Found")</f>
        <v>50000</v>
      </c>
      <c r="J488" s="3">
        <f>employee_data[[#This Row],[Current_Salary]]/employee_data[[#This Row],[Market_Median]]</f>
        <v>0.95199999999999996</v>
      </c>
      <c r="K488" s="2">
        <f>employee_data[[#This Row],[Current_Salary]]-employee_data[[#This Row],[Market_Median]]</f>
        <v>-2400</v>
      </c>
      <c r="L488" s="3">
        <f>(employee_data[[#This Row],[Current_Salary]]-employee_data[[#This Row],[Market_Median]])/employee_data[[#This Row],[Market_Median]]</f>
        <v>-4.8000000000000001E-2</v>
      </c>
      <c r="M488" t="str" cm="1">
        <f t="array" ref="M488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89" spans="1:13" x14ac:dyDescent="0.3">
      <c r="A489" s="1" t="s">
        <v>523</v>
      </c>
      <c r="B489" s="1" t="s">
        <v>9</v>
      </c>
      <c r="C489" s="1" t="s">
        <v>10</v>
      </c>
      <c r="D489" s="1" t="s">
        <v>11</v>
      </c>
      <c r="E489" s="1" t="s">
        <v>12</v>
      </c>
      <c r="F489">
        <v>7</v>
      </c>
      <c r="G489" s="2">
        <v>47700</v>
      </c>
      <c r="H489">
        <v>4</v>
      </c>
      <c r="I489" s="2">
        <f>_xlfn.XLOOKUP(employee_data[[#This Row],[Job_Title]],market_benchmarks[Job_Title],market_benchmarks[Market_Median],"Not Found")</f>
        <v>58000</v>
      </c>
      <c r="J489" s="3">
        <f>employee_data[[#This Row],[Current_Salary]]/employee_data[[#This Row],[Market_Median]]</f>
        <v>0.82241379310344831</v>
      </c>
      <c r="K489" s="2">
        <f>employee_data[[#This Row],[Current_Salary]]-employee_data[[#This Row],[Market_Median]]</f>
        <v>-10300</v>
      </c>
      <c r="L489" s="3">
        <f>(employee_data[[#This Row],[Current_Salary]]-employee_data[[#This Row],[Market_Median]])/employee_data[[#This Row],[Market_Median]]</f>
        <v>-0.17758620689655172</v>
      </c>
      <c r="M489" t="str" cm="1">
        <f t="array" ref="M489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90" spans="1:13" x14ac:dyDescent="0.3">
      <c r="A490" s="1" t="s">
        <v>524</v>
      </c>
      <c r="B490" s="1" t="s">
        <v>9</v>
      </c>
      <c r="C490" s="1" t="s">
        <v>25</v>
      </c>
      <c r="D490" s="1" t="s">
        <v>16</v>
      </c>
      <c r="E490" s="1" t="s">
        <v>12</v>
      </c>
      <c r="F490">
        <v>4</v>
      </c>
      <c r="G490" s="2">
        <v>85900</v>
      </c>
      <c r="H490">
        <v>3</v>
      </c>
      <c r="I490" s="2">
        <f>_xlfn.XLOOKUP(employee_data[[#This Row],[Job_Title]],market_benchmarks[Job_Title],market_benchmarks[Market_Median],"Not Found")</f>
        <v>98000</v>
      </c>
      <c r="J490" s="3">
        <f>employee_data[[#This Row],[Current_Salary]]/employee_data[[#This Row],[Market_Median]]</f>
        <v>0.87653061224489792</v>
      </c>
      <c r="K490" s="2">
        <f>employee_data[[#This Row],[Current_Salary]]-employee_data[[#This Row],[Market_Median]]</f>
        <v>-12100</v>
      </c>
      <c r="L490" s="3">
        <f>(employee_data[[#This Row],[Current_Salary]]-employee_data[[#This Row],[Market_Median]])/employee_data[[#This Row],[Market_Median]]</f>
        <v>-0.12346938775510204</v>
      </c>
      <c r="M490" t="str" cm="1">
        <f t="array" ref="M490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91" spans="1:13" x14ac:dyDescent="0.3">
      <c r="A491" s="1" t="s">
        <v>525</v>
      </c>
      <c r="B491" s="1" t="s">
        <v>30</v>
      </c>
      <c r="C491" s="1" t="s">
        <v>76</v>
      </c>
      <c r="D491" s="1" t="s">
        <v>16</v>
      </c>
      <c r="E491" s="1" t="s">
        <v>12</v>
      </c>
      <c r="F491">
        <v>13</v>
      </c>
      <c r="G491" s="2">
        <v>69900</v>
      </c>
      <c r="H491">
        <v>3</v>
      </c>
      <c r="I491" s="2">
        <f>_xlfn.XLOOKUP(employee_data[[#This Row],[Job_Title]],market_benchmarks[Job_Title],market_benchmarks[Market_Median],"Not Found")</f>
        <v>72000</v>
      </c>
      <c r="J491" s="3">
        <f>employee_data[[#This Row],[Current_Salary]]/employee_data[[#This Row],[Market_Median]]</f>
        <v>0.97083333333333333</v>
      </c>
      <c r="K491" s="2">
        <f>employee_data[[#This Row],[Current_Salary]]-employee_data[[#This Row],[Market_Median]]</f>
        <v>-2100</v>
      </c>
      <c r="L491" s="3">
        <f>(employee_data[[#This Row],[Current_Salary]]-employee_data[[#This Row],[Market_Median]])/employee_data[[#This Row],[Market_Median]]</f>
        <v>-2.9166666666666667E-2</v>
      </c>
      <c r="M491" t="str" cm="1">
        <f t="array" ref="M49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92" spans="1:13" x14ac:dyDescent="0.3">
      <c r="A492" s="1" t="s">
        <v>526</v>
      </c>
      <c r="B492" s="1" t="s">
        <v>30</v>
      </c>
      <c r="C492" s="1" t="s">
        <v>76</v>
      </c>
      <c r="D492" s="1" t="s">
        <v>16</v>
      </c>
      <c r="E492" s="1" t="s">
        <v>12</v>
      </c>
      <c r="F492">
        <v>12</v>
      </c>
      <c r="G492" s="2">
        <v>76700</v>
      </c>
      <c r="H492">
        <v>5</v>
      </c>
      <c r="I492" s="2">
        <f>_xlfn.XLOOKUP(employee_data[[#This Row],[Job_Title]],market_benchmarks[Job_Title],market_benchmarks[Market_Median],"Not Found")</f>
        <v>72000</v>
      </c>
      <c r="J492" s="3">
        <f>employee_data[[#This Row],[Current_Salary]]/employee_data[[#This Row],[Market_Median]]</f>
        <v>1.0652777777777778</v>
      </c>
      <c r="K492" s="2">
        <f>employee_data[[#This Row],[Current_Salary]]-employee_data[[#This Row],[Market_Median]]</f>
        <v>4700</v>
      </c>
      <c r="L492" s="3">
        <f>(employee_data[[#This Row],[Current_Salary]]-employee_data[[#This Row],[Market_Median]])/employee_data[[#This Row],[Market_Median]]</f>
        <v>6.5277777777777782E-2</v>
      </c>
      <c r="M492" t="str" cm="1">
        <f t="array" ref="M492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93" spans="1:13" x14ac:dyDescent="0.3">
      <c r="A493" s="1" t="s">
        <v>527</v>
      </c>
      <c r="B493" s="1" t="s">
        <v>9</v>
      </c>
      <c r="C493" s="1" t="s">
        <v>60</v>
      </c>
      <c r="D493" s="1" t="s">
        <v>32</v>
      </c>
      <c r="E493" s="1" t="s">
        <v>12</v>
      </c>
      <c r="F493">
        <v>4</v>
      </c>
      <c r="G493" s="2">
        <v>85300</v>
      </c>
      <c r="H493">
        <v>3</v>
      </c>
      <c r="I493" s="2">
        <f>_xlfn.XLOOKUP(employee_data[[#This Row],[Job_Title]],market_benchmarks[Job_Title],market_benchmarks[Market_Median],"Not Found")</f>
        <v>78000</v>
      </c>
      <c r="J493" s="3">
        <f>employee_data[[#This Row],[Current_Salary]]/employee_data[[#This Row],[Market_Median]]</f>
        <v>1.0935897435897435</v>
      </c>
      <c r="K493" s="2">
        <f>employee_data[[#This Row],[Current_Salary]]-employee_data[[#This Row],[Market_Median]]</f>
        <v>7300</v>
      </c>
      <c r="L493" s="3">
        <f>(employee_data[[#This Row],[Current_Salary]]-employee_data[[#This Row],[Market_Median]])/employee_data[[#This Row],[Market_Median]]</f>
        <v>9.358974358974359E-2</v>
      </c>
      <c r="M493" t="str" cm="1">
        <f t="array" ref="M493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94" spans="1:13" x14ac:dyDescent="0.3">
      <c r="A494" s="1" t="s">
        <v>528</v>
      </c>
      <c r="B494" s="1" t="s">
        <v>30</v>
      </c>
      <c r="C494" s="1" t="s">
        <v>53</v>
      </c>
      <c r="D494" s="1" t="s">
        <v>11</v>
      </c>
      <c r="E494" s="1" t="s">
        <v>12</v>
      </c>
      <c r="F494">
        <v>19</v>
      </c>
      <c r="G494" s="2">
        <v>46500</v>
      </c>
      <c r="H494">
        <v>4</v>
      </c>
      <c r="I494" s="2">
        <f>_xlfn.XLOOKUP(employee_data[[#This Row],[Job_Title]],market_benchmarks[Job_Title],market_benchmarks[Market_Median],"Not Found")</f>
        <v>48000</v>
      </c>
      <c r="J494" s="3">
        <f>employee_data[[#This Row],[Current_Salary]]/employee_data[[#This Row],[Market_Median]]</f>
        <v>0.96875</v>
      </c>
      <c r="K494" s="2">
        <f>employee_data[[#This Row],[Current_Salary]]-employee_data[[#This Row],[Market_Median]]</f>
        <v>-1500</v>
      </c>
      <c r="L494" s="3">
        <f>(employee_data[[#This Row],[Current_Salary]]-employee_data[[#This Row],[Market_Median]])/employee_data[[#This Row],[Market_Median]]</f>
        <v>-3.125E-2</v>
      </c>
      <c r="M494" t="str" cm="1">
        <f t="array" ref="M494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495" spans="1:13" x14ac:dyDescent="0.3">
      <c r="A495" s="1" t="s">
        <v>529</v>
      </c>
      <c r="B495" s="1" t="s">
        <v>18</v>
      </c>
      <c r="C495" s="1" t="s">
        <v>28</v>
      </c>
      <c r="D495" s="1" t="s">
        <v>11</v>
      </c>
      <c r="E495" s="1" t="s">
        <v>12</v>
      </c>
      <c r="F495">
        <v>8</v>
      </c>
      <c r="G495" s="2">
        <v>47600</v>
      </c>
      <c r="H495">
        <v>4</v>
      </c>
      <c r="I495" s="2">
        <f>_xlfn.XLOOKUP(employee_data[[#This Row],[Job_Title]],market_benchmarks[Job_Title],market_benchmarks[Market_Median],"Not Found")</f>
        <v>52000</v>
      </c>
      <c r="J495" s="3">
        <f>employee_data[[#This Row],[Current_Salary]]/employee_data[[#This Row],[Market_Median]]</f>
        <v>0.91538461538461535</v>
      </c>
      <c r="K495" s="2">
        <f>employee_data[[#This Row],[Current_Salary]]-employee_data[[#This Row],[Market_Median]]</f>
        <v>-4400</v>
      </c>
      <c r="L495" s="3">
        <f>(employee_data[[#This Row],[Current_Salary]]-employee_data[[#This Row],[Market_Median]])/employee_data[[#This Row],[Market_Median]]</f>
        <v>-8.461538461538462E-2</v>
      </c>
      <c r="M495" t="str" cm="1">
        <f t="array" ref="M495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96" spans="1:13" x14ac:dyDescent="0.3">
      <c r="A496" s="1" t="s">
        <v>530</v>
      </c>
      <c r="B496" s="1" t="s">
        <v>38</v>
      </c>
      <c r="C496" s="1" t="s">
        <v>39</v>
      </c>
      <c r="D496" s="1" t="s">
        <v>32</v>
      </c>
      <c r="E496" s="1" t="s">
        <v>12</v>
      </c>
      <c r="F496">
        <v>18</v>
      </c>
      <c r="G496" s="2">
        <v>57200</v>
      </c>
      <c r="H496">
        <v>4</v>
      </c>
      <c r="I496" s="2">
        <f>_xlfn.XLOOKUP(employee_data[[#This Row],[Job_Title]],market_benchmarks[Job_Title],market_benchmarks[Market_Median],"Not Found")</f>
        <v>70000</v>
      </c>
      <c r="J496" s="3">
        <f>employee_data[[#This Row],[Current_Salary]]/employee_data[[#This Row],[Market_Median]]</f>
        <v>0.81714285714285717</v>
      </c>
      <c r="K496" s="2">
        <f>employee_data[[#This Row],[Current_Salary]]-employee_data[[#This Row],[Market_Median]]</f>
        <v>-12800</v>
      </c>
      <c r="L496" s="3">
        <f>(employee_data[[#This Row],[Current_Salary]]-employee_data[[#This Row],[Market_Median]])/employee_data[[#This Row],[Market_Median]]</f>
        <v>-0.18285714285714286</v>
      </c>
      <c r="M496" t="str" cm="1">
        <f t="array" ref="M496">_xlfn.IFS(employee_data[[#This Row],[Market_Position]]&lt;85%,"Significantly Below Market",employee_data[[#This Row],[Market_Position]]&lt;95%,"Below Market",employee_data[[#This Row],[Market_Position]]&lt;=105%,"Around Market",TRUE,"Above Market")</f>
        <v>Significantly Below Market</v>
      </c>
    </row>
    <row r="497" spans="1:13" x14ac:dyDescent="0.3">
      <c r="A497" s="1" t="s">
        <v>531</v>
      </c>
      <c r="B497" s="1" t="s">
        <v>38</v>
      </c>
      <c r="C497" s="1" t="s">
        <v>39</v>
      </c>
      <c r="D497" s="1" t="s">
        <v>32</v>
      </c>
      <c r="E497" s="1" t="s">
        <v>12</v>
      </c>
      <c r="F497">
        <v>2</v>
      </c>
      <c r="G497" s="2">
        <v>74100</v>
      </c>
      <c r="H497">
        <v>4</v>
      </c>
      <c r="I497" s="2">
        <f>_xlfn.XLOOKUP(employee_data[[#This Row],[Job_Title]],market_benchmarks[Job_Title],market_benchmarks[Market_Median],"Not Found")</f>
        <v>70000</v>
      </c>
      <c r="J497" s="3">
        <f>employee_data[[#This Row],[Current_Salary]]/employee_data[[#This Row],[Market_Median]]</f>
        <v>1.0585714285714285</v>
      </c>
      <c r="K497" s="2">
        <f>employee_data[[#This Row],[Current_Salary]]-employee_data[[#This Row],[Market_Median]]</f>
        <v>4100</v>
      </c>
      <c r="L497" s="3">
        <f>(employee_data[[#This Row],[Current_Salary]]-employee_data[[#This Row],[Market_Median]])/employee_data[[#This Row],[Market_Median]]</f>
        <v>5.8571428571428573E-2</v>
      </c>
      <c r="M497" t="str" cm="1">
        <f t="array" ref="M497">_xlfn.IFS(employee_data[[#This Row],[Market_Position]]&lt;85%,"Significantly Below Market",employee_data[[#This Row],[Market_Position]]&lt;95%,"Below Market",employee_data[[#This Row],[Market_Position]]&lt;=105%,"Around Market",TRUE,"Above Market")</f>
        <v>Above Market</v>
      </c>
    </row>
    <row r="498" spans="1:13" x14ac:dyDescent="0.3">
      <c r="A498" s="1" t="s">
        <v>532</v>
      </c>
      <c r="B498" s="1" t="s">
        <v>22</v>
      </c>
      <c r="C498" s="1" t="s">
        <v>36</v>
      </c>
      <c r="D498" s="1" t="s">
        <v>32</v>
      </c>
      <c r="E498" s="1" t="s">
        <v>12</v>
      </c>
      <c r="F498">
        <v>15</v>
      </c>
      <c r="G498" s="2">
        <v>60800</v>
      </c>
      <c r="H498">
        <v>4</v>
      </c>
      <c r="I498" s="2">
        <f>_xlfn.XLOOKUP(employee_data[[#This Row],[Job_Title]],market_benchmarks[Job_Title],market_benchmarks[Market_Median],"Not Found")</f>
        <v>68000</v>
      </c>
      <c r="J498" s="3">
        <f>employee_data[[#This Row],[Current_Salary]]/employee_data[[#This Row],[Market_Median]]</f>
        <v>0.89411764705882357</v>
      </c>
      <c r="K498" s="2">
        <f>employee_data[[#This Row],[Current_Salary]]-employee_data[[#This Row],[Market_Median]]</f>
        <v>-7200</v>
      </c>
      <c r="L498" s="3">
        <f>(employee_data[[#This Row],[Current_Salary]]-employee_data[[#This Row],[Market_Median]])/employee_data[[#This Row],[Market_Median]]</f>
        <v>-0.10588235294117647</v>
      </c>
      <c r="M498" t="str" cm="1">
        <f t="array" ref="M498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499" spans="1:13" x14ac:dyDescent="0.3">
      <c r="A499" s="1" t="s">
        <v>533</v>
      </c>
      <c r="B499" s="1" t="s">
        <v>30</v>
      </c>
      <c r="C499" s="1" t="s">
        <v>76</v>
      </c>
      <c r="D499" s="1" t="s">
        <v>16</v>
      </c>
      <c r="E499" s="1" t="s">
        <v>12</v>
      </c>
      <c r="F499">
        <v>14</v>
      </c>
      <c r="G499" s="2">
        <v>65400</v>
      </c>
      <c r="H499">
        <v>3</v>
      </c>
      <c r="I499" s="2">
        <f>_xlfn.XLOOKUP(employee_data[[#This Row],[Job_Title]],market_benchmarks[Job_Title],market_benchmarks[Market_Median],"Not Found")</f>
        <v>72000</v>
      </c>
      <c r="J499" s="3">
        <f>employee_data[[#This Row],[Current_Salary]]/employee_data[[#This Row],[Market_Median]]</f>
        <v>0.90833333333333333</v>
      </c>
      <c r="K499" s="2">
        <f>employee_data[[#This Row],[Current_Salary]]-employee_data[[#This Row],[Market_Median]]</f>
        <v>-6600</v>
      </c>
      <c r="L499" s="3">
        <f>(employee_data[[#This Row],[Current_Salary]]-employee_data[[#This Row],[Market_Median]])/employee_data[[#This Row],[Market_Median]]</f>
        <v>-9.166666666666666E-2</v>
      </c>
      <c r="M499" t="str" cm="1">
        <f t="array" ref="M499">_xlfn.IFS(employee_data[[#This Row],[Market_Position]]&lt;85%,"Significantly Below Market",employee_data[[#This Row],[Market_Position]]&lt;95%,"Below Market",employee_data[[#This Row],[Market_Position]]&lt;=105%,"Around Market",TRUE,"Above Market")</f>
        <v>Below Market</v>
      </c>
    </row>
    <row r="500" spans="1:13" x14ac:dyDescent="0.3">
      <c r="A500" s="1" t="s">
        <v>534</v>
      </c>
      <c r="B500" s="1" t="s">
        <v>14</v>
      </c>
      <c r="C500" s="1" t="s">
        <v>48</v>
      </c>
      <c r="D500" s="1" t="s">
        <v>11</v>
      </c>
      <c r="E500" s="1" t="s">
        <v>12</v>
      </c>
      <c r="F500">
        <v>15</v>
      </c>
      <c r="G500" s="2">
        <v>51500</v>
      </c>
      <c r="H500">
        <v>3</v>
      </c>
      <c r="I500" s="2">
        <f>_xlfn.XLOOKUP(employee_data[[#This Row],[Job_Title]],market_benchmarks[Job_Title],market_benchmarks[Market_Median],"Not Found")</f>
        <v>50000</v>
      </c>
      <c r="J500" s="3">
        <f>employee_data[[#This Row],[Current_Salary]]/employee_data[[#This Row],[Market_Median]]</f>
        <v>1.03</v>
      </c>
      <c r="K500" s="2">
        <f>employee_data[[#This Row],[Current_Salary]]-employee_data[[#This Row],[Market_Median]]</f>
        <v>1500</v>
      </c>
      <c r="L500" s="3">
        <f>(employee_data[[#This Row],[Current_Salary]]-employee_data[[#This Row],[Market_Median]])/employee_data[[#This Row],[Market_Median]]</f>
        <v>0.03</v>
      </c>
      <c r="M500" t="str" cm="1">
        <f t="array" ref="M500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  <row r="501" spans="1:13" x14ac:dyDescent="0.3">
      <c r="A501" s="1" t="s">
        <v>535</v>
      </c>
      <c r="B501" s="1" t="s">
        <v>22</v>
      </c>
      <c r="C501" s="1" t="s">
        <v>41</v>
      </c>
      <c r="D501" s="1" t="s">
        <v>16</v>
      </c>
      <c r="E501" s="1" t="s">
        <v>12</v>
      </c>
      <c r="F501">
        <v>2</v>
      </c>
      <c r="G501" s="2">
        <v>86000</v>
      </c>
      <c r="H501">
        <v>1</v>
      </c>
      <c r="I501" s="2">
        <f>_xlfn.XLOOKUP(employee_data[[#This Row],[Job_Title]],market_benchmarks[Job_Title],market_benchmarks[Market_Median],"Not Found")</f>
        <v>85000</v>
      </c>
      <c r="J501" s="3">
        <f>employee_data[[#This Row],[Current_Salary]]/employee_data[[#This Row],[Market_Median]]</f>
        <v>1.0117647058823529</v>
      </c>
      <c r="K501" s="2">
        <f>employee_data[[#This Row],[Current_Salary]]-employee_data[[#This Row],[Market_Median]]</f>
        <v>1000</v>
      </c>
      <c r="L501" s="3">
        <f>(employee_data[[#This Row],[Current_Salary]]-employee_data[[#This Row],[Market_Median]])/employee_data[[#This Row],[Market_Median]]</f>
        <v>1.1764705882352941E-2</v>
      </c>
      <c r="M501" t="str" cm="1">
        <f t="array" ref="M501">_xlfn.IFS(employee_data[[#This Row],[Market_Position]]&lt;85%,"Significantly Below Market",employee_data[[#This Row],[Market_Position]]&lt;95%,"Below Market",employee_data[[#This Row],[Market_Position]]&lt;=105%,"Around Market",TRUE,"Above Market")</f>
        <v>Around Market</v>
      </c>
    </row>
  </sheetData>
  <conditionalFormatting sqref="J1:J1048576">
    <cfRule type="cellIs" dxfId="7" priority="6" operator="between">
      <formula>0.95</formula>
      <formula>1.05</formula>
    </cfRule>
    <cfRule type="cellIs" dxfId="6" priority="7" operator="between">
      <formula>0.85</formula>
      <formula>0.9499</formula>
    </cfRule>
    <cfRule type="cellIs" dxfId="5" priority="8" operator="lessThan">
      <formula>0.85</formula>
    </cfRule>
  </conditionalFormatting>
  <conditionalFormatting sqref="K1:K1048576">
    <cfRule type="cellIs" dxfId="4" priority="5" operator="lessThan">
      <formula>0</formula>
    </cfRule>
  </conditionalFormatting>
  <conditionalFormatting sqref="M1:M1048576">
    <cfRule type="containsText" dxfId="3" priority="1" operator="containsText" text="Below Market">
      <formula>NOT(ISERROR(SEARCH("Below Market",M1)))</formula>
    </cfRule>
    <cfRule type="containsText" dxfId="2" priority="2" operator="containsText" text="Around Market">
      <formula>NOT(ISERROR(SEARCH("Around Market",M1)))</formula>
    </cfRule>
    <cfRule type="containsText" dxfId="1" priority="4" operator="containsText" text="Significantly Below Market">
      <formula>NOT(ISERROR(SEARCH("Significantly Below Market",M1)))</formula>
    </cfRule>
  </conditionalFormatting>
  <conditionalFormatting sqref="P2">
    <cfRule type="containsText" dxfId="0" priority="3" operator="containsText" text="Around Market">
      <formula>NOT(ISERROR(SEARCH("Around Market",P2)))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C81A-4C25-400C-898E-D021D759809F}">
  <dimension ref="A1:B19"/>
  <sheetViews>
    <sheetView workbookViewId="0">
      <selection activeCell="B1" sqref="B1:B1048576"/>
    </sheetView>
  </sheetViews>
  <sheetFormatPr defaultRowHeight="14.4" x14ac:dyDescent="0.3"/>
  <cols>
    <col min="1" max="1" width="22.6640625" bestFit="1" customWidth="1"/>
    <col min="2" max="2" width="16" style="2" bestFit="1" customWidth="1"/>
  </cols>
  <sheetData>
    <row r="1" spans="1:2" x14ac:dyDescent="0.3">
      <c r="A1" t="s">
        <v>2</v>
      </c>
      <c r="B1" s="2" t="s">
        <v>536</v>
      </c>
    </row>
    <row r="2" spans="1:2" x14ac:dyDescent="0.3">
      <c r="A2" s="1" t="s">
        <v>53</v>
      </c>
      <c r="B2" s="2">
        <v>48000</v>
      </c>
    </row>
    <row r="3" spans="1:2" x14ac:dyDescent="0.3">
      <c r="A3" s="1" t="s">
        <v>31</v>
      </c>
      <c r="B3" s="2">
        <v>58000</v>
      </c>
    </row>
    <row r="4" spans="1:2" x14ac:dyDescent="0.3">
      <c r="A4" s="1" t="s">
        <v>76</v>
      </c>
      <c r="B4" s="2">
        <v>72000</v>
      </c>
    </row>
    <row r="5" spans="1:2" x14ac:dyDescent="0.3">
      <c r="A5" s="1" t="s">
        <v>55</v>
      </c>
      <c r="B5" s="2">
        <v>52000</v>
      </c>
    </row>
    <row r="6" spans="1:2" x14ac:dyDescent="0.3">
      <c r="A6" s="1" t="s">
        <v>39</v>
      </c>
      <c r="B6" s="2">
        <v>70000</v>
      </c>
    </row>
    <row r="7" spans="1:2" x14ac:dyDescent="0.3">
      <c r="A7" s="1" t="s">
        <v>96</v>
      </c>
      <c r="B7" s="2">
        <v>88000</v>
      </c>
    </row>
    <row r="8" spans="1:2" x14ac:dyDescent="0.3">
      <c r="A8" s="1" t="s">
        <v>48</v>
      </c>
      <c r="B8" s="2">
        <v>50000</v>
      </c>
    </row>
    <row r="9" spans="1:2" x14ac:dyDescent="0.3">
      <c r="A9" s="1" t="s">
        <v>65</v>
      </c>
      <c r="B9" s="2">
        <v>68000</v>
      </c>
    </row>
    <row r="10" spans="1:2" x14ac:dyDescent="0.3">
      <c r="A10" s="1" t="s">
        <v>15</v>
      </c>
      <c r="B10" s="2">
        <v>82000</v>
      </c>
    </row>
    <row r="11" spans="1:2" x14ac:dyDescent="0.3">
      <c r="A11" s="1" t="s">
        <v>10</v>
      </c>
      <c r="B11" s="2">
        <v>58000</v>
      </c>
    </row>
    <row r="12" spans="1:2" x14ac:dyDescent="0.3">
      <c r="A12" s="1" t="s">
        <v>60</v>
      </c>
      <c r="B12" s="2">
        <v>78000</v>
      </c>
    </row>
    <row r="13" spans="1:2" x14ac:dyDescent="0.3">
      <c r="A13" s="1" t="s">
        <v>25</v>
      </c>
      <c r="B13" s="2">
        <v>98000</v>
      </c>
    </row>
    <row r="14" spans="1:2" x14ac:dyDescent="0.3">
      <c r="A14" s="1" t="s">
        <v>28</v>
      </c>
      <c r="B14" s="2">
        <v>52000</v>
      </c>
    </row>
    <row r="15" spans="1:2" x14ac:dyDescent="0.3">
      <c r="A15" s="1" t="s">
        <v>43</v>
      </c>
      <c r="B15" s="2">
        <v>72000</v>
      </c>
    </row>
    <row r="16" spans="1:2" x14ac:dyDescent="0.3">
      <c r="A16" s="1" t="s">
        <v>19</v>
      </c>
      <c r="B16" s="2">
        <v>90000</v>
      </c>
    </row>
    <row r="17" spans="1:2" x14ac:dyDescent="0.3">
      <c r="A17" s="1" t="s">
        <v>23</v>
      </c>
      <c r="B17" s="2">
        <v>50000</v>
      </c>
    </row>
    <row r="18" spans="1:2" x14ac:dyDescent="0.3">
      <c r="A18" s="1" t="s">
        <v>36</v>
      </c>
      <c r="B18" s="2">
        <v>68000</v>
      </c>
    </row>
    <row r="19" spans="1:2" x14ac:dyDescent="0.3">
      <c r="A19" s="1" t="s">
        <v>41</v>
      </c>
      <c r="B19" s="2">
        <v>85000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3130-A00C-4308-A2AD-0D8515CD79C0}">
  <dimension ref="A3:V35"/>
  <sheetViews>
    <sheetView topLeftCell="A3" workbookViewId="0">
      <selection activeCell="A28" sqref="A28"/>
    </sheetView>
  </sheetViews>
  <sheetFormatPr defaultRowHeight="14.4" x14ac:dyDescent="0.3"/>
  <cols>
    <col min="1" max="1" width="19.77734375" bestFit="1" customWidth="1"/>
    <col min="2" max="3" width="13.88671875" bestFit="1" customWidth="1"/>
    <col min="4" max="5" width="19.33203125" bestFit="1" customWidth="1"/>
    <col min="6" max="6" width="21.5546875" bestFit="1" customWidth="1"/>
    <col min="8" max="8" width="19.77734375" bestFit="1" customWidth="1"/>
    <col min="9" max="9" width="21.5546875" bestFit="1" customWidth="1"/>
    <col min="10" max="10" width="14" bestFit="1" customWidth="1"/>
    <col min="12" max="12" width="19.77734375" bestFit="1" customWidth="1"/>
    <col min="13" max="13" width="17.21875" bestFit="1" customWidth="1"/>
    <col min="14" max="14" width="24.5546875" bestFit="1" customWidth="1"/>
    <col min="15" max="15" width="17.21875" bestFit="1" customWidth="1"/>
    <col min="16" max="16" width="24.5546875" bestFit="1" customWidth="1"/>
    <col min="17" max="17" width="17.21875" bestFit="1" customWidth="1"/>
    <col min="18" max="18" width="24.5546875" bestFit="1" customWidth="1"/>
    <col min="19" max="19" width="23.109375" bestFit="1" customWidth="1"/>
    <col min="20" max="20" width="24.5546875" bestFit="1" customWidth="1"/>
    <col min="21" max="21" width="21.77734375" bestFit="1" customWidth="1"/>
    <col min="22" max="22" width="29.109375" bestFit="1" customWidth="1"/>
  </cols>
  <sheetData>
    <row r="3" spans="1:22" x14ac:dyDescent="0.3">
      <c r="A3" s="4" t="s">
        <v>541</v>
      </c>
      <c r="B3" t="s">
        <v>544</v>
      </c>
      <c r="C3" t="s">
        <v>545</v>
      </c>
      <c r="D3" t="s">
        <v>546</v>
      </c>
      <c r="E3" t="s">
        <v>547</v>
      </c>
      <c r="F3" t="s">
        <v>548</v>
      </c>
      <c r="H3" s="4" t="s">
        <v>541</v>
      </c>
      <c r="I3" t="s">
        <v>543</v>
      </c>
      <c r="M3" s="4" t="s">
        <v>553</v>
      </c>
    </row>
    <row r="4" spans="1:22" x14ac:dyDescent="0.3">
      <c r="A4" s="5" t="s">
        <v>30</v>
      </c>
      <c r="B4" s="1">
        <v>82</v>
      </c>
      <c r="C4" s="2">
        <v>56503.658536585368</v>
      </c>
      <c r="D4" s="2">
        <v>59560.975609756097</v>
      </c>
      <c r="E4" s="2">
        <v>-3057.3170731707319</v>
      </c>
      <c r="F4" s="3">
        <v>0.94760215166806838</v>
      </c>
      <c r="H4" s="5" t="s">
        <v>549</v>
      </c>
      <c r="I4" s="1">
        <v>87</v>
      </c>
      <c r="M4" t="s">
        <v>549</v>
      </c>
      <c r="O4" t="s">
        <v>550</v>
      </c>
      <c r="Q4" t="s">
        <v>551</v>
      </c>
      <c r="S4" t="s">
        <v>552</v>
      </c>
      <c r="U4" t="s">
        <v>555</v>
      </c>
      <c r="V4" t="s">
        <v>556</v>
      </c>
    </row>
    <row r="5" spans="1:22" x14ac:dyDescent="0.3">
      <c r="A5" s="5" t="s">
        <v>38</v>
      </c>
      <c r="B5" s="1">
        <v>90</v>
      </c>
      <c r="C5" s="2">
        <v>63817.777777777781</v>
      </c>
      <c r="D5" s="2">
        <v>67000</v>
      </c>
      <c r="E5" s="2">
        <v>-3182.2222222222222</v>
      </c>
      <c r="F5" s="3">
        <v>0.95645726495726535</v>
      </c>
      <c r="H5" s="5" t="s">
        <v>550</v>
      </c>
      <c r="I5" s="1">
        <v>185</v>
      </c>
      <c r="L5" s="4" t="s">
        <v>541</v>
      </c>
      <c r="M5" t="s">
        <v>554</v>
      </c>
      <c r="N5" t="s">
        <v>557</v>
      </c>
      <c r="O5" t="s">
        <v>554</v>
      </c>
      <c r="P5" t="s">
        <v>557</v>
      </c>
      <c r="Q5" t="s">
        <v>554</v>
      </c>
      <c r="R5" t="s">
        <v>557</v>
      </c>
      <c r="S5" t="s">
        <v>554</v>
      </c>
      <c r="T5" t="s">
        <v>557</v>
      </c>
    </row>
    <row r="6" spans="1:22" x14ac:dyDescent="0.3">
      <c r="A6" s="5" t="s">
        <v>14</v>
      </c>
      <c r="B6" s="1">
        <v>69</v>
      </c>
      <c r="C6" s="2">
        <v>63502.89855072464</v>
      </c>
      <c r="D6" s="2">
        <v>66666.666666666672</v>
      </c>
      <c r="E6" s="2">
        <v>-3163.768115942029</v>
      </c>
      <c r="F6" s="3">
        <v>0.95192774416235226</v>
      </c>
      <c r="H6" s="5" t="s">
        <v>551</v>
      </c>
      <c r="I6" s="1">
        <v>149</v>
      </c>
      <c r="L6" s="5" t="s">
        <v>30</v>
      </c>
      <c r="M6" s="1">
        <v>17</v>
      </c>
      <c r="N6" s="3">
        <v>0.2073170731707317</v>
      </c>
      <c r="O6" s="1">
        <v>26</v>
      </c>
      <c r="P6" s="3">
        <v>0.31707317073170732</v>
      </c>
      <c r="Q6" s="1">
        <v>22</v>
      </c>
      <c r="R6" s="3">
        <v>0.26829268292682928</v>
      </c>
      <c r="S6" s="1">
        <v>17</v>
      </c>
      <c r="T6" s="3">
        <v>0.2073170731707317</v>
      </c>
      <c r="U6" s="1">
        <v>82</v>
      </c>
      <c r="V6" s="3">
        <v>1</v>
      </c>
    </row>
    <row r="7" spans="1:22" x14ac:dyDescent="0.3">
      <c r="A7" s="5" t="s">
        <v>9</v>
      </c>
      <c r="B7" s="1">
        <v>87</v>
      </c>
      <c r="C7" s="2">
        <v>73862.068965517246</v>
      </c>
      <c r="D7" s="2">
        <v>77310.344827586203</v>
      </c>
      <c r="E7" s="2">
        <v>-3448.2758620689656</v>
      </c>
      <c r="F7" s="3">
        <v>0.95324957020217727</v>
      </c>
      <c r="H7" s="5" t="s">
        <v>552</v>
      </c>
      <c r="I7" s="1">
        <v>79</v>
      </c>
      <c r="L7" s="5" t="s">
        <v>38</v>
      </c>
      <c r="M7" s="1">
        <v>18</v>
      </c>
      <c r="N7" s="3">
        <v>0.2</v>
      </c>
      <c r="O7" s="1">
        <v>29</v>
      </c>
      <c r="P7" s="3">
        <v>0.32222222222222224</v>
      </c>
      <c r="Q7" s="1">
        <v>27</v>
      </c>
      <c r="R7" s="3">
        <v>0.3</v>
      </c>
      <c r="S7" s="1">
        <v>16</v>
      </c>
      <c r="T7" s="3">
        <v>0.17777777777777778</v>
      </c>
      <c r="U7" s="1">
        <v>90</v>
      </c>
      <c r="V7" s="3">
        <v>1</v>
      </c>
    </row>
    <row r="8" spans="1:22" x14ac:dyDescent="0.3">
      <c r="A8" s="5" t="s">
        <v>22</v>
      </c>
      <c r="B8" s="1">
        <v>81</v>
      </c>
      <c r="C8" s="2">
        <v>65423.456790123455</v>
      </c>
      <c r="D8" s="2">
        <v>66802.469135802472</v>
      </c>
      <c r="E8" s="2">
        <v>-1379.0123456790122</v>
      </c>
      <c r="F8" s="3">
        <v>0.97708133623819904</v>
      </c>
      <c r="H8" s="5" t="s">
        <v>542</v>
      </c>
      <c r="I8" s="1">
        <v>500</v>
      </c>
      <c r="L8" s="5" t="s">
        <v>14</v>
      </c>
      <c r="M8" s="1">
        <v>9</v>
      </c>
      <c r="N8" s="3">
        <v>0.13043478260869565</v>
      </c>
      <c r="O8" s="1">
        <v>29</v>
      </c>
      <c r="P8" s="3">
        <v>0.42028985507246375</v>
      </c>
      <c r="Q8" s="1">
        <v>20</v>
      </c>
      <c r="R8" s="3">
        <v>0.28985507246376813</v>
      </c>
      <c r="S8" s="1">
        <v>11</v>
      </c>
      <c r="T8" s="3">
        <v>0.15942028985507245</v>
      </c>
      <c r="U8" s="1">
        <v>69</v>
      </c>
      <c r="V8" s="3">
        <v>1</v>
      </c>
    </row>
    <row r="9" spans="1:22" x14ac:dyDescent="0.3">
      <c r="A9" s="5" t="s">
        <v>18</v>
      </c>
      <c r="B9" s="1">
        <v>91</v>
      </c>
      <c r="C9" s="2">
        <v>66010.989010989011</v>
      </c>
      <c r="D9" s="2">
        <v>69076.923076923078</v>
      </c>
      <c r="E9" s="2">
        <v>-3065.934065934066</v>
      </c>
      <c r="F9" s="3">
        <v>0.95243425378040758</v>
      </c>
      <c r="L9" s="5" t="s">
        <v>9</v>
      </c>
      <c r="M9" s="1">
        <v>10</v>
      </c>
      <c r="N9" s="3">
        <v>0.11494252873563218</v>
      </c>
      <c r="O9" s="1">
        <v>38</v>
      </c>
      <c r="P9" s="3">
        <v>0.43678160919540232</v>
      </c>
      <c r="Q9" s="1">
        <v>29</v>
      </c>
      <c r="R9" s="3">
        <v>0.33333333333333331</v>
      </c>
      <c r="S9" s="1">
        <v>10</v>
      </c>
      <c r="T9" s="3">
        <v>0.11494252873563218</v>
      </c>
      <c r="U9" s="1">
        <v>87</v>
      </c>
      <c r="V9" s="3">
        <v>1</v>
      </c>
    </row>
    <row r="10" spans="1:22" x14ac:dyDescent="0.3">
      <c r="A10" s="5" t="s">
        <v>542</v>
      </c>
      <c r="B10" s="1">
        <v>500</v>
      </c>
      <c r="C10" s="2">
        <v>64981.8</v>
      </c>
      <c r="D10" s="2">
        <v>67874</v>
      </c>
      <c r="E10" s="2">
        <v>-2892.2</v>
      </c>
      <c r="F10" s="3">
        <v>0.95643072513407701</v>
      </c>
      <c r="L10" s="5" t="s">
        <v>22</v>
      </c>
      <c r="M10" s="1">
        <v>21</v>
      </c>
      <c r="N10" s="3">
        <v>0.25925925925925924</v>
      </c>
      <c r="O10" s="1">
        <v>27</v>
      </c>
      <c r="P10" s="3">
        <v>0.33333333333333331</v>
      </c>
      <c r="Q10" s="1">
        <v>21</v>
      </c>
      <c r="R10" s="3">
        <v>0.25925925925925924</v>
      </c>
      <c r="S10" s="1">
        <v>12</v>
      </c>
      <c r="T10" s="3">
        <v>0.14814814814814814</v>
      </c>
      <c r="U10" s="1">
        <v>81</v>
      </c>
      <c r="V10" s="3">
        <v>1</v>
      </c>
    </row>
    <row r="11" spans="1:22" x14ac:dyDescent="0.3">
      <c r="L11" s="5" t="s">
        <v>18</v>
      </c>
      <c r="M11" s="1">
        <v>12</v>
      </c>
      <c r="N11" s="3">
        <v>0.13186813186813187</v>
      </c>
      <c r="O11" s="1">
        <v>36</v>
      </c>
      <c r="P11" s="3">
        <v>0.39560439560439559</v>
      </c>
      <c r="Q11" s="1">
        <v>30</v>
      </c>
      <c r="R11" s="3">
        <v>0.32967032967032966</v>
      </c>
      <c r="S11" s="1">
        <v>13</v>
      </c>
      <c r="T11" s="3">
        <v>0.14285714285714285</v>
      </c>
      <c r="U11" s="1">
        <v>91</v>
      </c>
      <c r="V11" s="3">
        <v>1</v>
      </c>
    </row>
    <row r="12" spans="1:22" x14ac:dyDescent="0.3">
      <c r="L12" s="5" t="s">
        <v>542</v>
      </c>
      <c r="M12" s="1">
        <v>87</v>
      </c>
      <c r="N12" s="3">
        <v>0.17399999999999999</v>
      </c>
      <c r="O12" s="1">
        <v>185</v>
      </c>
      <c r="P12" s="3">
        <v>0.37</v>
      </c>
      <c r="Q12" s="1">
        <v>149</v>
      </c>
      <c r="R12" s="3">
        <v>0.29799999999999999</v>
      </c>
      <c r="S12" s="1">
        <v>79</v>
      </c>
      <c r="T12" s="3">
        <v>0.158</v>
      </c>
      <c r="U12" s="1">
        <v>500</v>
      </c>
      <c r="V12" s="3">
        <v>1</v>
      </c>
    </row>
    <row r="17" spans="1:9" x14ac:dyDescent="0.3">
      <c r="A17" s="4" t="s">
        <v>541</v>
      </c>
      <c r="B17" t="s">
        <v>575</v>
      </c>
      <c r="C17" t="s">
        <v>576</v>
      </c>
      <c r="D17" t="s">
        <v>579</v>
      </c>
      <c r="E17" t="s">
        <v>580</v>
      </c>
      <c r="H17" s="4" t="s">
        <v>541</v>
      </c>
      <c r="I17" t="s">
        <v>548</v>
      </c>
    </row>
    <row r="18" spans="1:9" x14ac:dyDescent="0.3">
      <c r="A18" s="5" t="s">
        <v>30</v>
      </c>
      <c r="B18" s="2">
        <v>124500</v>
      </c>
      <c r="C18" s="2">
        <v>229000</v>
      </c>
      <c r="D18" s="1">
        <v>31</v>
      </c>
      <c r="E18" s="1">
        <v>39</v>
      </c>
      <c r="H18" s="5" t="s">
        <v>30</v>
      </c>
      <c r="I18" s="3">
        <v>0.94760215166806838</v>
      </c>
    </row>
    <row r="19" spans="1:9" x14ac:dyDescent="0.3">
      <c r="A19" s="5" t="s">
        <v>38</v>
      </c>
      <c r="B19" s="2">
        <v>116100</v>
      </c>
      <c r="C19" s="2">
        <v>235500</v>
      </c>
      <c r="D19" s="1">
        <v>26</v>
      </c>
      <c r="E19" s="1">
        <v>43</v>
      </c>
      <c r="H19" s="5" t="s">
        <v>38</v>
      </c>
      <c r="I19" s="3">
        <v>0.95645726495726535</v>
      </c>
    </row>
    <row r="20" spans="1:9" x14ac:dyDescent="0.3">
      <c r="A20" s="5" t="s">
        <v>14</v>
      </c>
      <c r="B20" s="2">
        <v>100100</v>
      </c>
      <c r="C20" s="2">
        <v>185200</v>
      </c>
      <c r="D20" s="1">
        <v>21</v>
      </c>
      <c r="E20" s="1">
        <v>31</v>
      </c>
      <c r="H20" s="5" t="s">
        <v>14</v>
      </c>
      <c r="I20" s="3">
        <v>0.95192774416235226</v>
      </c>
    </row>
    <row r="21" spans="1:9" x14ac:dyDescent="0.3">
      <c r="A21" s="5" t="s">
        <v>9</v>
      </c>
      <c r="B21" s="2">
        <v>86900</v>
      </c>
      <c r="C21" s="2">
        <v>190800</v>
      </c>
      <c r="D21" s="1">
        <v>18</v>
      </c>
      <c r="E21" s="1">
        <v>39</v>
      </c>
      <c r="H21" s="5" t="s">
        <v>9</v>
      </c>
      <c r="I21" s="3">
        <v>0.95324957020217727</v>
      </c>
    </row>
    <row r="22" spans="1:9" x14ac:dyDescent="0.3">
      <c r="A22" s="5" t="s">
        <v>22</v>
      </c>
      <c r="B22" s="2">
        <v>106300</v>
      </c>
      <c r="C22" s="2">
        <v>198600</v>
      </c>
      <c r="D22" s="1">
        <v>22</v>
      </c>
      <c r="E22" s="1">
        <v>33</v>
      </c>
      <c r="H22" s="5" t="s">
        <v>22</v>
      </c>
      <c r="I22" s="3">
        <v>0.97708133623819904</v>
      </c>
    </row>
    <row r="23" spans="1:9" x14ac:dyDescent="0.3">
      <c r="A23" s="5" t="s">
        <v>18</v>
      </c>
      <c r="B23" s="2">
        <v>100300</v>
      </c>
      <c r="C23" s="2">
        <v>214600</v>
      </c>
      <c r="D23" s="1">
        <v>22</v>
      </c>
      <c r="E23" s="1">
        <v>43</v>
      </c>
      <c r="H23" s="5" t="s">
        <v>18</v>
      </c>
      <c r="I23" s="3">
        <v>0.95243425378040758</v>
      </c>
    </row>
    <row r="24" spans="1:9" x14ac:dyDescent="0.3">
      <c r="A24" s="5" t="s">
        <v>542</v>
      </c>
      <c r="B24" s="2">
        <v>634200</v>
      </c>
      <c r="C24" s="2">
        <v>1253700</v>
      </c>
      <c r="D24" s="1">
        <v>140</v>
      </c>
      <c r="E24" s="1">
        <v>228</v>
      </c>
      <c r="H24" s="5" t="s">
        <v>542</v>
      </c>
      <c r="I24" s="3">
        <v>0.95643072513407701</v>
      </c>
    </row>
    <row r="28" spans="1:9" x14ac:dyDescent="0.3">
      <c r="A28" s="4" t="s">
        <v>541</v>
      </c>
      <c r="B28" t="s">
        <v>575</v>
      </c>
      <c r="C28" t="s">
        <v>576</v>
      </c>
    </row>
    <row r="29" spans="1:9" x14ac:dyDescent="0.3">
      <c r="A29" s="5" t="s">
        <v>30</v>
      </c>
      <c r="B29" s="2">
        <v>124500</v>
      </c>
      <c r="C29" s="2">
        <v>229000</v>
      </c>
    </row>
    <row r="30" spans="1:9" x14ac:dyDescent="0.3">
      <c r="A30" s="5" t="s">
        <v>38</v>
      </c>
      <c r="B30" s="2">
        <v>116100</v>
      </c>
      <c r="C30" s="2">
        <v>235500</v>
      </c>
    </row>
    <row r="31" spans="1:9" x14ac:dyDescent="0.3">
      <c r="A31" s="5" t="s">
        <v>14</v>
      </c>
      <c r="B31" s="2">
        <v>100100</v>
      </c>
      <c r="C31" s="2">
        <v>185200</v>
      </c>
    </row>
    <row r="32" spans="1:9" x14ac:dyDescent="0.3">
      <c r="A32" s="5" t="s">
        <v>9</v>
      </c>
      <c r="B32" s="2">
        <v>86900</v>
      </c>
      <c r="C32" s="2">
        <v>190800</v>
      </c>
    </row>
    <row r="33" spans="1:3" x14ac:dyDescent="0.3">
      <c r="A33" s="5" t="s">
        <v>22</v>
      </c>
      <c r="B33" s="2">
        <v>106300</v>
      </c>
      <c r="C33" s="2">
        <v>198600</v>
      </c>
    </row>
    <row r="34" spans="1:3" x14ac:dyDescent="0.3">
      <c r="A34" s="5" t="s">
        <v>18</v>
      </c>
      <c r="B34" s="2">
        <v>100300</v>
      </c>
      <c r="C34" s="2">
        <v>214600</v>
      </c>
    </row>
    <row r="35" spans="1:3" x14ac:dyDescent="0.3">
      <c r="A35" s="5" t="s">
        <v>542</v>
      </c>
      <c r="B35" s="2">
        <v>634200</v>
      </c>
      <c r="C35" s="2">
        <v>1253700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F588-500B-4A3F-AF53-EA2384270176}">
  <dimension ref="A1:Y501"/>
  <sheetViews>
    <sheetView workbookViewId="0">
      <selection activeCell="B3" sqref="B3"/>
    </sheetView>
  </sheetViews>
  <sheetFormatPr defaultRowHeight="14.4" x14ac:dyDescent="0.3"/>
  <cols>
    <col min="2" max="2" width="22.88671875" customWidth="1"/>
    <col min="3" max="3" width="24" customWidth="1"/>
    <col min="4" max="4" width="14.6640625" style="2" customWidth="1"/>
    <col min="5" max="5" width="14.21875" style="2" customWidth="1"/>
    <col min="6" max="6" width="15.44140625" style="3" customWidth="1"/>
    <col min="7" max="7" width="22.5546875" style="2" customWidth="1"/>
    <col min="8" max="8" width="20.77734375" style="2" customWidth="1"/>
    <col min="9" max="9" width="23.21875" customWidth="1"/>
    <col min="10" max="10" width="20" style="2" customWidth="1"/>
    <col min="11" max="11" width="21.77734375" customWidth="1"/>
    <col min="12" max="12" width="20.33203125" style="2" customWidth="1"/>
    <col min="13" max="14" width="20.33203125" style="1" customWidth="1"/>
    <col min="16" max="16" width="51.109375" customWidth="1"/>
    <col min="17" max="17" width="12.6640625" bestFit="1" customWidth="1"/>
    <col min="20" max="20" width="21.44140625" customWidth="1"/>
    <col min="21" max="21" width="14.21875" customWidth="1"/>
    <col min="22" max="22" width="13.44140625" customWidth="1"/>
    <col min="23" max="23" width="15" customWidth="1"/>
    <col min="24" max="24" width="14.33203125" customWidth="1"/>
    <col min="25" max="25" width="26.6640625" customWidth="1"/>
  </cols>
  <sheetData>
    <row r="1" spans="1:25" ht="13.8" customHeight="1" x14ac:dyDescent="0.3">
      <c r="A1" t="s">
        <v>0</v>
      </c>
      <c r="B1" t="s">
        <v>1</v>
      </c>
      <c r="C1" t="s">
        <v>2</v>
      </c>
      <c r="D1" s="2" t="s">
        <v>6</v>
      </c>
      <c r="E1" s="2" t="s">
        <v>536</v>
      </c>
      <c r="F1" s="3" t="s">
        <v>537</v>
      </c>
      <c r="G1" s="2" t="s">
        <v>558</v>
      </c>
      <c r="H1" s="2" t="s">
        <v>559</v>
      </c>
      <c r="I1" t="s">
        <v>560</v>
      </c>
      <c r="J1" s="2" t="s">
        <v>561</v>
      </c>
      <c r="K1" t="s">
        <v>562</v>
      </c>
      <c r="L1" s="2" t="s">
        <v>563</v>
      </c>
      <c r="M1" s="1" t="s">
        <v>577</v>
      </c>
      <c r="N1" s="1" t="s">
        <v>578</v>
      </c>
      <c r="P1" s="9" t="s">
        <v>564</v>
      </c>
      <c r="Q1" s="7"/>
      <c r="T1" s="8" t="s">
        <v>581</v>
      </c>
      <c r="U1" s="15" t="s">
        <v>565</v>
      </c>
      <c r="V1" s="15" t="s">
        <v>582</v>
      </c>
      <c r="W1" s="15" t="s">
        <v>583</v>
      </c>
      <c r="X1" s="15" t="s">
        <v>566</v>
      </c>
      <c r="Y1" s="6" t="s">
        <v>587</v>
      </c>
    </row>
    <row r="2" spans="1:25" ht="12" customHeight="1" x14ac:dyDescent="0.3">
      <c r="A2" t="str" cm="1">
        <f t="array" ref="A2:A501">employee_data[Employee_ID]</f>
        <v>E0001</v>
      </c>
      <c r="B2" t="str" cm="1">
        <f t="array" ref="B2:B501">employee_data[Department]</f>
        <v>Information Technology</v>
      </c>
      <c r="C2" t="str" cm="1">
        <f t="array" ref="C2:C501">employee_data[Job_Title]</f>
        <v>IT Support Analyst</v>
      </c>
      <c r="D2" s="2" cm="1">
        <f t="array" ref="D2:D501">employee_data[Current_Salary]</f>
        <v>48700</v>
      </c>
      <c r="E2" s="2" cm="1">
        <f t="array" ref="E2:E501">employee_data[Market_Median]</f>
        <v>58000</v>
      </c>
      <c r="F2" s="3" cm="1">
        <f t="array" ref="F2:F501">employee_data[Market_Position]</f>
        <v>0.83965517241379306</v>
      </c>
      <c r="G2" s="2" cm="1">
        <f t="array" ref="G2:G501">_xlfn.ANCHORARRAY(D2)*3%</f>
        <v>1461</v>
      </c>
      <c r="H2" s="2" cm="1">
        <f t="array" ref="H2:H501">_xlfn.ANCHORARRAY(D2)+_xlfn.ANCHORARRAY(G2)</f>
        <v>50161</v>
      </c>
      <c r="I2" cm="1">
        <f t="array" ref="I2:I501">IF(_xlfn.ANCHORARRAY(F2)&lt;90%,_xlfn.ANCHORARRAY(E2)*90%-_xlfn.ANCHORARRAY(D2),0)</f>
        <v>3500</v>
      </c>
      <c r="J2" s="2" cm="1">
        <f t="array" ref="J2:J501">_xlfn.ANCHORARRAY(D2)+_xlfn.ANCHORARRAY(I2)</f>
        <v>52200</v>
      </c>
      <c r="K2" s="7" cm="1">
        <f t="array" ref="K2:K501">IF(_xlfn.ANCHORARRAY(F2)&lt;95%,_xlfn.ANCHORARRAY(E2)*95%-_xlfn.ANCHORARRAY(D2),0)</f>
        <v>6400</v>
      </c>
      <c r="L2" s="2" cm="1">
        <f t="array" ref="L2:L501">_xlfn.ANCHORARRAY(D2)+_xlfn.ANCHORARRAY(K2)</f>
        <v>55100</v>
      </c>
      <c r="M2" s="1" cm="1">
        <f t="array" ref="M2:M501">IF(_xlfn.ANCHORARRAY(I2)&gt;0,1,0)</f>
        <v>1</v>
      </c>
      <c r="N2" s="1" cm="1">
        <f t="array" ref="N2:N501">IF(_xlfn.ANCHORARRAY(K2)&gt;0,1,0)</f>
        <v>1</v>
      </c>
      <c r="P2" s="7" t="s">
        <v>571</v>
      </c>
      <c r="Q2" s="10">
        <f>COUNTA(_xlfn.ANCHORARRAY(A2))</f>
        <v>500</v>
      </c>
      <c r="T2" s="7" t="s">
        <v>584</v>
      </c>
      <c r="U2" s="14">
        <v>500</v>
      </c>
      <c r="V2" s="16">
        <v>974727</v>
      </c>
      <c r="W2" s="17">
        <v>0.03</v>
      </c>
      <c r="X2" s="16">
        <v>33465627</v>
      </c>
      <c r="Y2" s="2">
        <f>V2/U2</f>
        <v>1949.454</v>
      </c>
    </row>
    <row r="3" spans="1:25" ht="12.6" customHeight="1" x14ac:dyDescent="0.3">
      <c r="A3" t="str">
        <v>E0002</v>
      </c>
      <c r="B3" t="str">
        <v>Human Resources</v>
      </c>
      <c r="C3" t="str">
        <v>HR Advisor</v>
      </c>
      <c r="D3" s="2">
        <v>80500</v>
      </c>
      <c r="E3" s="2">
        <v>82000</v>
      </c>
      <c r="F3" s="3">
        <v>0.98170731707317072</v>
      </c>
      <c r="G3" s="2">
        <v>2415</v>
      </c>
      <c r="H3" s="2">
        <v>82915</v>
      </c>
      <c r="I3">
        <v>0</v>
      </c>
      <c r="J3" s="2">
        <v>80500</v>
      </c>
      <c r="K3">
        <v>0</v>
      </c>
      <c r="L3" s="2">
        <v>80500</v>
      </c>
      <c r="M3" s="1">
        <v>0</v>
      </c>
      <c r="N3" s="1">
        <v>0</v>
      </c>
      <c r="P3" s="7" t="s">
        <v>572</v>
      </c>
      <c r="Q3" s="11">
        <f>SUM(_xlfn.ANCHORARRAY(D2))</f>
        <v>32490900</v>
      </c>
      <c r="T3" s="7" t="s">
        <v>585</v>
      </c>
      <c r="U3" s="14">
        <v>140</v>
      </c>
      <c r="V3" s="16">
        <v>634200</v>
      </c>
      <c r="W3" s="17">
        <v>1.95E-2</v>
      </c>
      <c r="X3" s="16">
        <v>33125100</v>
      </c>
      <c r="Y3" s="2">
        <f t="shared" ref="Y3:Y4" si="0">V3/U3</f>
        <v>4530</v>
      </c>
    </row>
    <row r="4" spans="1:25" ht="12.6" customHeight="1" x14ac:dyDescent="0.3">
      <c r="A4" t="str">
        <v>E0003</v>
      </c>
      <c r="B4" t="str">
        <v>Policy &amp; Research</v>
      </c>
      <c r="C4" t="str">
        <v>Senior Policy Analyst</v>
      </c>
      <c r="D4" s="2">
        <v>81300</v>
      </c>
      <c r="E4" s="2">
        <v>90000</v>
      </c>
      <c r="F4" s="3">
        <v>0.90333333333333332</v>
      </c>
      <c r="G4" s="2">
        <v>2439</v>
      </c>
      <c r="H4" s="2">
        <v>83739</v>
      </c>
      <c r="I4">
        <v>0</v>
      </c>
      <c r="J4" s="2">
        <v>81300</v>
      </c>
      <c r="K4">
        <v>4200</v>
      </c>
      <c r="L4" s="2">
        <v>85500</v>
      </c>
      <c r="M4" s="1">
        <v>0</v>
      </c>
      <c r="N4" s="1">
        <v>1</v>
      </c>
      <c r="P4" s="7" t="s">
        <v>573</v>
      </c>
      <c r="Q4" s="11">
        <f>SUM(_xlfn.ANCHORARRAY(G2))</f>
        <v>974727</v>
      </c>
      <c r="T4" s="7" t="s">
        <v>586</v>
      </c>
      <c r="U4" s="14">
        <v>228</v>
      </c>
      <c r="V4" s="16">
        <v>1253700</v>
      </c>
      <c r="W4" s="17">
        <v>3.8600000000000002E-2</v>
      </c>
      <c r="X4" s="16">
        <v>33744600</v>
      </c>
      <c r="Y4" s="2">
        <f t="shared" si="0"/>
        <v>5498.6842105263158</v>
      </c>
    </row>
    <row r="5" spans="1:25" ht="13.2" customHeight="1" x14ac:dyDescent="0.3">
      <c r="A5" t="str">
        <v>E0004</v>
      </c>
      <c r="B5" t="str">
        <v>Information Technology</v>
      </c>
      <c r="C5" t="str">
        <v>IT Support Analyst</v>
      </c>
      <c r="D5" s="2">
        <v>58200</v>
      </c>
      <c r="E5" s="2">
        <v>58000</v>
      </c>
      <c r="F5" s="3">
        <v>1.0034482758620689</v>
      </c>
      <c r="G5" s="2">
        <v>1746</v>
      </c>
      <c r="H5" s="2">
        <v>59946</v>
      </c>
      <c r="I5">
        <v>0</v>
      </c>
      <c r="J5" s="2">
        <v>58200</v>
      </c>
      <c r="K5">
        <v>0</v>
      </c>
      <c r="L5" s="2">
        <v>58200</v>
      </c>
      <c r="M5" s="1">
        <v>0</v>
      </c>
      <c r="N5" s="1">
        <v>0</v>
      </c>
      <c r="P5" s="7" t="s">
        <v>574</v>
      </c>
      <c r="Q5" s="11">
        <f>SUM(_xlfn.ANCHORARRAY(H2))</f>
        <v>33465627</v>
      </c>
    </row>
    <row r="6" spans="1:25" x14ac:dyDescent="0.3">
      <c r="A6" t="str">
        <v>E0005</v>
      </c>
      <c r="B6" t="str">
        <v>Operations</v>
      </c>
      <c r="C6" t="str">
        <v>Operations Assistant</v>
      </c>
      <c r="D6" s="2">
        <v>35300</v>
      </c>
      <c r="E6" s="2">
        <v>50000</v>
      </c>
      <c r="F6" s="3">
        <v>0.70599999999999996</v>
      </c>
      <c r="G6" s="2">
        <v>1059</v>
      </c>
      <c r="H6" s="2">
        <v>36359</v>
      </c>
      <c r="I6">
        <v>9700</v>
      </c>
      <c r="J6" s="2">
        <v>45000</v>
      </c>
      <c r="K6">
        <v>12200</v>
      </c>
      <c r="L6" s="2">
        <v>47500</v>
      </c>
      <c r="M6" s="1">
        <v>1</v>
      </c>
      <c r="N6" s="1">
        <v>1</v>
      </c>
    </row>
    <row r="7" spans="1:25" x14ac:dyDescent="0.3">
      <c r="A7" t="str">
        <v>E0006</v>
      </c>
      <c r="B7" t="str">
        <v>Information Technology</v>
      </c>
      <c r="C7" t="str">
        <v>Senior Systems Analyst</v>
      </c>
      <c r="D7" s="2">
        <v>99000</v>
      </c>
      <c r="E7" s="2">
        <v>98000</v>
      </c>
      <c r="F7" s="3">
        <v>1.010204081632653</v>
      </c>
      <c r="G7" s="2">
        <v>2970</v>
      </c>
      <c r="H7" s="2">
        <v>101970</v>
      </c>
      <c r="I7">
        <v>0</v>
      </c>
      <c r="J7" s="2">
        <v>99000</v>
      </c>
      <c r="K7">
        <v>0</v>
      </c>
      <c r="L7" s="2">
        <v>99000</v>
      </c>
      <c r="M7" s="1">
        <v>0</v>
      </c>
      <c r="N7" s="1">
        <v>0</v>
      </c>
    </row>
    <row r="8" spans="1:25" x14ac:dyDescent="0.3">
      <c r="A8" t="str">
        <v>E0007</v>
      </c>
      <c r="B8" t="str">
        <v>Information Technology</v>
      </c>
      <c r="C8" t="str">
        <v>Senior Systems Analyst</v>
      </c>
      <c r="D8" s="2">
        <v>94300</v>
      </c>
      <c r="E8" s="2">
        <v>98000</v>
      </c>
      <c r="F8" s="3">
        <v>0.96224489795918366</v>
      </c>
      <c r="G8" s="2">
        <v>2829</v>
      </c>
      <c r="H8" s="2">
        <v>97129</v>
      </c>
      <c r="I8">
        <v>0</v>
      </c>
      <c r="J8" s="2">
        <v>94300</v>
      </c>
      <c r="K8">
        <v>0</v>
      </c>
      <c r="L8" s="2">
        <v>94300</v>
      </c>
      <c r="M8" s="1">
        <v>0</v>
      </c>
      <c r="N8" s="1">
        <v>0</v>
      </c>
      <c r="P8" s="6" t="s">
        <v>569</v>
      </c>
    </row>
    <row r="9" spans="1:25" x14ac:dyDescent="0.3">
      <c r="A9" t="str">
        <v>E0008</v>
      </c>
      <c r="B9" t="str">
        <v>Policy &amp; Research</v>
      </c>
      <c r="C9" t="str">
        <v>Research Assistant</v>
      </c>
      <c r="D9" s="2">
        <v>46700</v>
      </c>
      <c r="E9" s="2">
        <v>52000</v>
      </c>
      <c r="F9" s="3">
        <v>0.89807692307692311</v>
      </c>
      <c r="G9" s="2">
        <v>1401</v>
      </c>
      <c r="H9" s="2">
        <v>48101</v>
      </c>
      <c r="I9">
        <v>100</v>
      </c>
      <c r="J9" s="2">
        <v>46800</v>
      </c>
      <c r="K9">
        <v>2700</v>
      </c>
      <c r="L9" s="2">
        <v>49400</v>
      </c>
      <c r="M9" s="1">
        <v>1</v>
      </c>
      <c r="N9" s="1">
        <v>1</v>
      </c>
      <c r="P9" s="7" t="s">
        <v>571</v>
      </c>
      <c r="Q9" s="5">
        <f>COUNTIF(_xlfn.ANCHORARRAY(F2),"&lt;90%")</f>
        <v>140</v>
      </c>
    </row>
    <row r="10" spans="1:25" x14ac:dyDescent="0.3">
      <c r="A10" t="str">
        <v>E0009</v>
      </c>
      <c r="B10" t="str">
        <v>Administration</v>
      </c>
      <c r="C10" t="str">
        <v>Administrative Coordinator</v>
      </c>
      <c r="D10" s="2">
        <v>59600</v>
      </c>
      <c r="E10" s="2">
        <v>58000</v>
      </c>
      <c r="F10" s="3">
        <v>1.0275862068965518</v>
      </c>
      <c r="G10" s="2">
        <v>1788</v>
      </c>
      <c r="H10" s="2">
        <v>61388</v>
      </c>
      <c r="I10">
        <v>0</v>
      </c>
      <c r="J10" s="2">
        <v>59600</v>
      </c>
      <c r="K10">
        <v>0</v>
      </c>
      <c r="L10" s="2">
        <v>59600</v>
      </c>
      <c r="M10" s="1">
        <v>0</v>
      </c>
      <c r="N10" s="1">
        <v>0</v>
      </c>
      <c r="P10" s="7" t="s">
        <v>572</v>
      </c>
      <c r="Q10" s="12">
        <f>SUM(_xlfn.ANCHORARRAY(D2))</f>
        <v>32490900</v>
      </c>
    </row>
    <row r="11" spans="1:25" x14ac:dyDescent="0.3">
      <c r="A11" t="str">
        <v>E0010</v>
      </c>
      <c r="B11" t="str">
        <v>Information Technology</v>
      </c>
      <c r="C11" t="str">
        <v>IT Support Analyst</v>
      </c>
      <c r="D11" s="2">
        <v>48700</v>
      </c>
      <c r="E11" s="2">
        <v>58000</v>
      </c>
      <c r="F11" s="3">
        <v>0.83965517241379306</v>
      </c>
      <c r="G11" s="2">
        <v>1461</v>
      </c>
      <c r="H11" s="2">
        <v>50161</v>
      </c>
      <c r="I11">
        <v>3500</v>
      </c>
      <c r="J11" s="2">
        <v>52200</v>
      </c>
      <c r="K11">
        <v>6400</v>
      </c>
      <c r="L11" s="2">
        <v>55100</v>
      </c>
      <c r="M11" s="1">
        <v>1</v>
      </c>
      <c r="N11" s="1">
        <v>1</v>
      </c>
      <c r="P11" s="7" t="s">
        <v>573</v>
      </c>
      <c r="Q11" s="12">
        <f>SUM(_xlfn.ANCHORARRAY(I2))</f>
        <v>634200</v>
      </c>
    </row>
    <row r="12" spans="1:25" x14ac:dyDescent="0.3">
      <c r="A12" t="str">
        <v>E0011</v>
      </c>
      <c r="B12" t="str">
        <v>Operations</v>
      </c>
      <c r="C12" t="str">
        <v>Operations Assistant</v>
      </c>
      <c r="D12" s="2">
        <v>45300</v>
      </c>
      <c r="E12" s="2">
        <v>50000</v>
      </c>
      <c r="F12" s="3">
        <v>0.90600000000000003</v>
      </c>
      <c r="G12" s="2">
        <v>1359</v>
      </c>
      <c r="H12" s="2">
        <v>46659</v>
      </c>
      <c r="I12">
        <v>0</v>
      </c>
      <c r="J12" s="2">
        <v>45300</v>
      </c>
      <c r="K12">
        <v>2200</v>
      </c>
      <c r="L12" s="2">
        <v>47500</v>
      </c>
      <c r="M12" s="1">
        <v>0</v>
      </c>
      <c r="N12" s="1">
        <v>1</v>
      </c>
      <c r="P12" s="7" t="s">
        <v>574</v>
      </c>
      <c r="Q12" s="12">
        <f>SUM(_xlfn.ANCHORARRAY(J2))</f>
        <v>33125100</v>
      </c>
    </row>
    <row r="13" spans="1:25" x14ac:dyDescent="0.3">
      <c r="A13" t="str">
        <v>E0012</v>
      </c>
      <c r="B13" t="str">
        <v>Operations</v>
      </c>
      <c r="C13" t="str">
        <v>Operations Analyst</v>
      </c>
      <c r="D13" s="2">
        <v>75000</v>
      </c>
      <c r="E13" s="2">
        <v>68000</v>
      </c>
      <c r="F13" s="3">
        <v>1.1029411764705883</v>
      </c>
      <c r="G13" s="2">
        <v>2250</v>
      </c>
      <c r="H13" s="2">
        <v>77250</v>
      </c>
      <c r="I13">
        <v>0</v>
      </c>
      <c r="J13" s="2">
        <v>75000</v>
      </c>
      <c r="K13">
        <v>0</v>
      </c>
      <c r="L13" s="2">
        <v>75000</v>
      </c>
      <c r="M13" s="1">
        <v>0</v>
      </c>
      <c r="N13" s="1">
        <v>0</v>
      </c>
      <c r="P13" t="s">
        <v>567</v>
      </c>
      <c r="Q13" s="13">
        <f>SUM(_xlfn.ANCHORARRAY(I2))/SUM(_xlfn.ANCHORARRAY(D2))</f>
        <v>1.9519311561083257E-2</v>
      </c>
    </row>
    <row r="14" spans="1:25" x14ac:dyDescent="0.3">
      <c r="A14" t="str">
        <v>E0013</v>
      </c>
      <c r="B14" t="str">
        <v>Finance</v>
      </c>
      <c r="C14" t="str">
        <v>Financial Analyst</v>
      </c>
      <c r="D14" s="2">
        <v>68000</v>
      </c>
      <c r="E14" s="2">
        <v>70000</v>
      </c>
      <c r="F14" s="3">
        <v>0.97142857142857142</v>
      </c>
      <c r="G14" s="2">
        <v>2040</v>
      </c>
      <c r="H14" s="2">
        <v>70040</v>
      </c>
      <c r="I14">
        <v>0</v>
      </c>
      <c r="J14" s="2">
        <v>68000</v>
      </c>
      <c r="K14">
        <v>0</v>
      </c>
      <c r="L14" s="2">
        <v>68000</v>
      </c>
      <c r="M14" s="1">
        <v>0</v>
      </c>
      <c r="N14" s="1">
        <v>0</v>
      </c>
    </row>
    <row r="15" spans="1:25" x14ac:dyDescent="0.3">
      <c r="A15" t="str">
        <v>E0014</v>
      </c>
      <c r="B15" t="str">
        <v>Operations</v>
      </c>
      <c r="C15" t="str">
        <v>Operations Manager</v>
      </c>
      <c r="D15" s="2">
        <v>88200</v>
      </c>
      <c r="E15" s="2">
        <v>85000</v>
      </c>
      <c r="F15" s="3">
        <v>1.0376470588235294</v>
      </c>
      <c r="G15" s="2">
        <v>2646</v>
      </c>
      <c r="H15" s="2">
        <v>90846</v>
      </c>
      <c r="I15">
        <v>0</v>
      </c>
      <c r="J15" s="2">
        <v>88200</v>
      </c>
      <c r="K15">
        <v>0</v>
      </c>
      <c r="L15" s="2">
        <v>88200</v>
      </c>
      <c r="M15" s="1">
        <v>0</v>
      </c>
      <c r="N15" s="1">
        <v>0</v>
      </c>
    </row>
    <row r="16" spans="1:25" x14ac:dyDescent="0.3">
      <c r="A16" t="str">
        <v>E0015</v>
      </c>
      <c r="B16" t="str">
        <v>Policy &amp; Research</v>
      </c>
      <c r="C16" t="str">
        <v>Policy Analyst</v>
      </c>
      <c r="D16" s="2">
        <v>58700</v>
      </c>
      <c r="E16" s="2">
        <v>72000</v>
      </c>
      <c r="F16" s="3">
        <v>0.81527777777777777</v>
      </c>
      <c r="G16" s="2">
        <v>1761</v>
      </c>
      <c r="H16" s="2">
        <v>60461</v>
      </c>
      <c r="I16">
        <v>6100</v>
      </c>
      <c r="J16" s="2">
        <v>64800</v>
      </c>
      <c r="K16">
        <v>9700</v>
      </c>
      <c r="L16" s="2">
        <v>68400</v>
      </c>
      <c r="M16" s="1">
        <v>1</v>
      </c>
      <c r="N16" s="1">
        <v>1</v>
      </c>
      <c r="P16" s="6" t="s">
        <v>570</v>
      </c>
    </row>
    <row r="17" spans="1:17" x14ac:dyDescent="0.3">
      <c r="A17" t="str">
        <v>E0016</v>
      </c>
      <c r="B17" t="str">
        <v>Information Technology</v>
      </c>
      <c r="C17" t="str">
        <v>IT Support Analyst</v>
      </c>
      <c r="D17" s="2">
        <v>50000</v>
      </c>
      <c r="E17" s="2">
        <v>58000</v>
      </c>
      <c r="F17" s="3">
        <v>0.86206896551724133</v>
      </c>
      <c r="G17" s="2">
        <v>1500</v>
      </c>
      <c r="H17" s="2">
        <v>51500</v>
      </c>
      <c r="I17">
        <v>2200</v>
      </c>
      <c r="J17" s="2">
        <v>52200</v>
      </c>
      <c r="K17">
        <v>5100</v>
      </c>
      <c r="L17" s="2">
        <v>55100</v>
      </c>
      <c r="M17" s="1">
        <v>1</v>
      </c>
      <c r="N17" s="1">
        <v>1</v>
      </c>
      <c r="P17" s="7" t="s">
        <v>571</v>
      </c>
      <c r="Q17" s="5">
        <f>COUNTIF(_xlfn.ANCHORARRAY(F2),"&lt;95%")</f>
        <v>228</v>
      </c>
    </row>
    <row r="18" spans="1:17" x14ac:dyDescent="0.3">
      <c r="A18" t="str">
        <v>E0017</v>
      </c>
      <c r="B18" t="str">
        <v>Policy &amp; Research</v>
      </c>
      <c r="C18" t="str">
        <v>Research Assistant</v>
      </c>
      <c r="D18" s="2">
        <v>41300</v>
      </c>
      <c r="E18" s="2">
        <v>52000</v>
      </c>
      <c r="F18" s="3">
        <v>0.79423076923076918</v>
      </c>
      <c r="G18" s="2">
        <v>1239</v>
      </c>
      <c r="H18" s="2">
        <v>42539</v>
      </c>
      <c r="I18">
        <v>5500</v>
      </c>
      <c r="J18" s="2">
        <v>46800</v>
      </c>
      <c r="K18">
        <v>8100</v>
      </c>
      <c r="L18" s="2">
        <v>49400</v>
      </c>
      <c r="M18" s="1">
        <v>1</v>
      </c>
      <c r="N18" s="1">
        <v>1</v>
      </c>
      <c r="P18" s="7" t="s">
        <v>572</v>
      </c>
      <c r="Q18" s="12">
        <f>SUM(_xlfn.ANCHORARRAY(D2))</f>
        <v>32490900</v>
      </c>
    </row>
    <row r="19" spans="1:17" x14ac:dyDescent="0.3">
      <c r="A19" t="str">
        <v>E0018</v>
      </c>
      <c r="B19" t="str">
        <v>Human Resources</v>
      </c>
      <c r="C19" t="str">
        <v>HR Advisor</v>
      </c>
      <c r="D19" s="2">
        <v>71400</v>
      </c>
      <c r="E19" s="2">
        <v>82000</v>
      </c>
      <c r="F19" s="3">
        <v>0.87073170731707317</v>
      </c>
      <c r="G19" s="2">
        <v>2142</v>
      </c>
      <c r="H19" s="2">
        <v>73542</v>
      </c>
      <c r="I19">
        <v>2400</v>
      </c>
      <c r="J19" s="2">
        <v>73800</v>
      </c>
      <c r="K19">
        <v>6500</v>
      </c>
      <c r="L19" s="2">
        <v>77900</v>
      </c>
      <c r="M19" s="1">
        <v>1</v>
      </c>
      <c r="N19" s="1">
        <v>1</v>
      </c>
      <c r="P19" s="7" t="s">
        <v>573</v>
      </c>
      <c r="Q19" s="12">
        <f>SUM(_xlfn.ANCHORARRAY(K2))</f>
        <v>1253700</v>
      </c>
    </row>
    <row r="20" spans="1:17" x14ac:dyDescent="0.3">
      <c r="A20" t="str">
        <v>E0019</v>
      </c>
      <c r="B20" t="str">
        <v>Human Resources</v>
      </c>
      <c r="C20" t="str">
        <v>HR Assistant</v>
      </c>
      <c r="D20" s="2">
        <v>50800</v>
      </c>
      <c r="E20" s="2">
        <v>50000</v>
      </c>
      <c r="F20" s="3">
        <v>1.016</v>
      </c>
      <c r="G20" s="2">
        <v>1524</v>
      </c>
      <c r="H20" s="2">
        <v>52324</v>
      </c>
      <c r="I20">
        <v>0</v>
      </c>
      <c r="J20" s="2">
        <v>50800</v>
      </c>
      <c r="K20">
        <v>0</v>
      </c>
      <c r="L20" s="2">
        <v>50800</v>
      </c>
      <c r="M20" s="1">
        <v>0</v>
      </c>
      <c r="N20" s="1">
        <v>0</v>
      </c>
      <c r="P20" s="7" t="s">
        <v>574</v>
      </c>
      <c r="Q20" s="12">
        <f>SUM(_xlfn.ANCHORARRAY(L2))</f>
        <v>33744600</v>
      </c>
    </row>
    <row r="21" spans="1:17" x14ac:dyDescent="0.3">
      <c r="A21" t="str">
        <v>E0020</v>
      </c>
      <c r="B21" t="str">
        <v>Administration</v>
      </c>
      <c r="C21" t="str">
        <v>Administrative Coordinator</v>
      </c>
      <c r="D21" s="2">
        <v>56500</v>
      </c>
      <c r="E21" s="2">
        <v>58000</v>
      </c>
      <c r="F21" s="3">
        <v>0.97413793103448276</v>
      </c>
      <c r="G21" s="2">
        <v>1695</v>
      </c>
      <c r="H21" s="2">
        <v>58195</v>
      </c>
      <c r="I21">
        <v>0</v>
      </c>
      <c r="J21" s="2">
        <v>56500</v>
      </c>
      <c r="K21">
        <v>0</v>
      </c>
      <c r="L21" s="2">
        <v>56500</v>
      </c>
      <c r="M21" s="1">
        <v>0</v>
      </c>
      <c r="N21" s="1">
        <v>0</v>
      </c>
      <c r="P21" t="s">
        <v>568</v>
      </c>
      <c r="Q21" s="13">
        <f>SUM(_xlfn.ANCHORARRAY(K2))/SUM(_xlfn.ANCHORARRAY(D2))</f>
        <v>3.8586188748234121E-2</v>
      </c>
    </row>
    <row r="22" spans="1:17" x14ac:dyDescent="0.3">
      <c r="A22" t="str">
        <v>E0021</v>
      </c>
      <c r="B22" t="str">
        <v>Operations</v>
      </c>
      <c r="C22" t="str">
        <v>Operations Assistant</v>
      </c>
      <c r="D22" s="2">
        <v>49800</v>
      </c>
      <c r="E22" s="2">
        <v>50000</v>
      </c>
      <c r="F22" s="3">
        <v>0.996</v>
      </c>
      <c r="G22" s="2">
        <v>1494</v>
      </c>
      <c r="H22" s="2">
        <v>51294</v>
      </c>
      <c r="I22">
        <v>0</v>
      </c>
      <c r="J22" s="2">
        <v>49800</v>
      </c>
      <c r="K22">
        <v>0</v>
      </c>
      <c r="L22" s="2">
        <v>49800</v>
      </c>
      <c r="M22" s="1">
        <v>0</v>
      </c>
      <c r="N22" s="1">
        <v>0</v>
      </c>
    </row>
    <row r="23" spans="1:17" x14ac:dyDescent="0.3">
      <c r="A23" t="str">
        <v>E0022</v>
      </c>
      <c r="B23" t="str">
        <v>Human Resources</v>
      </c>
      <c r="C23" t="str">
        <v>HR Assistant</v>
      </c>
      <c r="D23" s="2">
        <v>39100</v>
      </c>
      <c r="E23" s="2">
        <v>50000</v>
      </c>
      <c r="F23" s="3">
        <v>0.78200000000000003</v>
      </c>
      <c r="G23" s="2">
        <v>1173</v>
      </c>
      <c r="H23" s="2">
        <v>40273</v>
      </c>
      <c r="I23">
        <v>5900</v>
      </c>
      <c r="J23" s="2">
        <v>45000</v>
      </c>
      <c r="K23">
        <v>8400</v>
      </c>
      <c r="L23" s="2">
        <v>47500</v>
      </c>
      <c r="M23" s="1">
        <v>1</v>
      </c>
      <c r="N23" s="1">
        <v>1</v>
      </c>
    </row>
    <row r="24" spans="1:17" x14ac:dyDescent="0.3">
      <c r="A24" t="str">
        <v>E0023</v>
      </c>
      <c r="B24" t="str">
        <v>Administration</v>
      </c>
      <c r="C24" t="str">
        <v>Administrative Assistant</v>
      </c>
      <c r="D24" s="2">
        <v>33000</v>
      </c>
      <c r="E24" s="2">
        <v>48000</v>
      </c>
      <c r="F24" s="3">
        <v>0.6875</v>
      </c>
      <c r="G24" s="2">
        <v>990</v>
      </c>
      <c r="H24" s="2">
        <v>33990</v>
      </c>
      <c r="I24">
        <v>10200</v>
      </c>
      <c r="J24" s="2">
        <v>43200</v>
      </c>
      <c r="K24">
        <v>12600</v>
      </c>
      <c r="L24" s="2">
        <v>45600</v>
      </c>
      <c r="M24" s="1">
        <v>1</v>
      </c>
      <c r="N24" s="1">
        <v>1</v>
      </c>
    </row>
    <row r="25" spans="1:17" x14ac:dyDescent="0.3">
      <c r="A25" t="str">
        <v>E0024</v>
      </c>
      <c r="B25" t="str">
        <v>Finance</v>
      </c>
      <c r="C25" t="str">
        <v>Finance Assistant</v>
      </c>
      <c r="D25" s="2">
        <v>53700</v>
      </c>
      <c r="E25" s="2">
        <v>52000</v>
      </c>
      <c r="F25" s="3">
        <v>1.0326923076923078</v>
      </c>
      <c r="G25" s="2">
        <v>1611</v>
      </c>
      <c r="H25" s="2">
        <v>55311</v>
      </c>
      <c r="I25">
        <v>0</v>
      </c>
      <c r="J25" s="2">
        <v>53700</v>
      </c>
      <c r="K25">
        <v>0</v>
      </c>
      <c r="L25" s="2">
        <v>53700</v>
      </c>
      <c r="M25" s="1">
        <v>0</v>
      </c>
      <c r="N25" s="1">
        <v>0</v>
      </c>
    </row>
    <row r="26" spans="1:17" x14ac:dyDescent="0.3">
      <c r="A26" t="str">
        <v>E0025</v>
      </c>
      <c r="B26" t="str">
        <v>Administration</v>
      </c>
      <c r="C26" t="str">
        <v>Administrative Assistant</v>
      </c>
      <c r="D26" s="2">
        <v>43000</v>
      </c>
      <c r="E26" s="2">
        <v>48000</v>
      </c>
      <c r="F26" s="3">
        <v>0.89583333333333337</v>
      </c>
      <c r="G26" s="2">
        <v>1290</v>
      </c>
      <c r="H26" s="2">
        <v>44290</v>
      </c>
      <c r="I26">
        <v>200</v>
      </c>
      <c r="J26" s="2">
        <v>43200</v>
      </c>
      <c r="K26">
        <v>2600</v>
      </c>
      <c r="L26" s="2">
        <v>45600</v>
      </c>
      <c r="M26" s="1">
        <v>1</v>
      </c>
      <c r="N26" s="1">
        <v>1</v>
      </c>
    </row>
    <row r="27" spans="1:17" x14ac:dyDescent="0.3">
      <c r="A27" t="str">
        <v>E0026</v>
      </c>
      <c r="B27" t="str">
        <v>Human Resources</v>
      </c>
      <c r="C27" t="str">
        <v>HR Assistant</v>
      </c>
      <c r="D27" s="2">
        <v>40000</v>
      </c>
      <c r="E27" s="2">
        <v>50000</v>
      </c>
      <c r="F27" s="3">
        <v>0.8</v>
      </c>
      <c r="G27" s="2">
        <v>1200</v>
      </c>
      <c r="H27" s="2">
        <v>41200</v>
      </c>
      <c r="I27">
        <v>5000</v>
      </c>
      <c r="J27" s="2">
        <v>45000</v>
      </c>
      <c r="K27">
        <v>7500</v>
      </c>
      <c r="L27" s="2">
        <v>47500</v>
      </c>
      <c r="M27" s="1">
        <v>1</v>
      </c>
      <c r="N27" s="1">
        <v>1</v>
      </c>
    </row>
    <row r="28" spans="1:17" x14ac:dyDescent="0.3">
      <c r="A28" t="str">
        <v>E0027</v>
      </c>
      <c r="B28" t="str">
        <v>Human Resources</v>
      </c>
      <c r="C28" t="str">
        <v>HR Advisor</v>
      </c>
      <c r="D28" s="2">
        <v>72900</v>
      </c>
      <c r="E28" s="2">
        <v>82000</v>
      </c>
      <c r="F28" s="3">
        <v>0.88902439024390245</v>
      </c>
      <c r="G28" s="2">
        <v>2187</v>
      </c>
      <c r="H28" s="2">
        <v>75087</v>
      </c>
      <c r="I28">
        <v>900</v>
      </c>
      <c r="J28" s="2">
        <v>73800</v>
      </c>
      <c r="K28">
        <v>5000</v>
      </c>
      <c r="L28" s="2">
        <v>77900</v>
      </c>
      <c r="M28" s="1">
        <v>1</v>
      </c>
      <c r="N28" s="1">
        <v>1</v>
      </c>
    </row>
    <row r="29" spans="1:17" x14ac:dyDescent="0.3">
      <c r="A29" t="str">
        <v>E0028</v>
      </c>
      <c r="B29" t="str">
        <v>Information Technology</v>
      </c>
      <c r="C29" t="str">
        <v>Systems Analyst</v>
      </c>
      <c r="D29" s="2">
        <v>71600</v>
      </c>
      <c r="E29" s="2">
        <v>78000</v>
      </c>
      <c r="F29" s="3">
        <v>0.91794871794871791</v>
      </c>
      <c r="G29" s="2">
        <v>2148</v>
      </c>
      <c r="H29" s="2">
        <v>73748</v>
      </c>
      <c r="I29">
        <v>0</v>
      </c>
      <c r="J29" s="2">
        <v>71600</v>
      </c>
      <c r="K29">
        <v>2500</v>
      </c>
      <c r="L29" s="2">
        <v>74100</v>
      </c>
      <c r="M29" s="1">
        <v>0</v>
      </c>
      <c r="N29" s="1">
        <v>1</v>
      </c>
    </row>
    <row r="30" spans="1:17" x14ac:dyDescent="0.3">
      <c r="A30" t="str">
        <v>E0029</v>
      </c>
      <c r="B30" t="str">
        <v>Information Technology</v>
      </c>
      <c r="C30" t="str">
        <v>IT Support Analyst</v>
      </c>
      <c r="D30" s="2">
        <v>60000</v>
      </c>
      <c r="E30" s="2">
        <v>58000</v>
      </c>
      <c r="F30" s="3">
        <v>1.0344827586206897</v>
      </c>
      <c r="G30" s="2">
        <v>1800</v>
      </c>
      <c r="H30" s="2">
        <v>61800</v>
      </c>
      <c r="I30">
        <v>0</v>
      </c>
      <c r="J30" s="2">
        <v>60000</v>
      </c>
      <c r="K30">
        <v>0</v>
      </c>
      <c r="L30" s="2">
        <v>60000</v>
      </c>
      <c r="M30" s="1">
        <v>0</v>
      </c>
      <c r="N30" s="1">
        <v>0</v>
      </c>
    </row>
    <row r="31" spans="1:17" x14ac:dyDescent="0.3">
      <c r="A31" t="str">
        <v>E0030</v>
      </c>
      <c r="B31" t="str">
        <v>Administration</v>
      </c>
      <c r="C31" t="str">
        <v>Administrative Assistant</v>
      </c>
      <c r="D31" s="2">
        <v>39300</v>
      </c>
      <c r="E31" s="2">
        <v>48000</v>
      </c>
      <c r="F31" s="3">
        <v>0.81874999999999998</v>
      </c>
      <c r="G31" s="2">
        <v>1179</v>
      </c>
      <c r="H31" s="2">
        <v>40479</v>
      </c>
      <c r="I31">
        <v>3900</v>
      </c>
      <c r="J31" s="2">
        <v>43200</v>
      </c>
      <c r="K31">
        <v>6300</v>
      </c>
      <c r="L31" s="2">
        <v>45600</v>
      </c>
      <c r="M31" s="1">
        <v>1</v>
      </c>
      <c r="N31" s="1">
        <v>1</v>
      </c>
    </row>
    <row r="32" spans="1:17" x14ac:dyDescent="0.3">
      <c r="A32" t="str">
        <v>E0031</v>
      </c>
      <c r="B32" t="str">
        <v>Operations</v>
      </c>
      <c r="C32" t="str">
        <v>Operations Manager</v>
      </c>
      <c r="D32" s="2">
        <v>71400</v>
      </c>
      <c r="E32" s="2">
        <v>85000</v>
      </c>
      <c r="F32" s="3">
        <v>0.84</v>
      </c>
      <c r="G32" s="2">
        <v>2142</v>
      </c>
      <c r="H32" s="2">
        <v>73542</v>
      </c>
      <c r="I32">
        <v>5100</v>
      </c>
      <c r="J32" s="2">
        <v>76500</v>
      </c>
      <c r="K32">
        <v>9350</v>
      </c>
      <c r="L32" s="2">
        <v>80750</v>
      </c>
      <c r="M32" s="1">
        <v>1</v>
      </c>
      <c r="N32" s="1">
        <v>1</v>
      </c>
    </row>
    <row r="33" spans="1:14" x14ac:dyDescent="0.3">
      <c r="A33" t="str">
        <v>E0032</v>
      </c>
      <c r="B33" t="str">
        <v>Human Resources</v>
      </c>
      <c r="C33" t="str">
        <v>HR Analyst</v>
      </c>
      <c r="D33" s="2">
        <v>70800</v>
      </c>
      <c r="E33" s="2">
        <v>68000</v>
      </c>
      <c r="F33" s="3">
        <v>1.0411764705882354</v>
      </c>
      <c r="G33" s="2">
        <v>2124</v>
      </c>
      <c r="H33" s="2">
        <v>72924</v>
      </c>
      <c r="I33">
        <v>0</v>
      </c>
      <c r="J33" s="2">
        <v>70800</v>
      </c>
      <c r="K33">
        <v>0</v>
      </c>
      <c r="L33" s="2">
        <v>70800</v>
      </c>
      <c r="M33" s="1">
        <v>0</v>
      </c>
      <c r="N33" s="1">
        <v>0</v>
      </c>
    </row>
    <row r="34" spans="1:14" x14ac:dyDescent="0.3">
      <c r="A34" t="str">
        <v>E0033</v>
      </c>
      <c r="B34" t="str">
        <v>Operations</v>
      </c>
      <c r="C34" t="str">
        <v>Operations Assistant</v>
      </c>
      <c r="D34" s="2">
        <v>52900</v>
      </c>
      <c r="E34" s="2">
        <v>50000</v>
      </c>
      <c r="F34" s="3">
        <v>1.0580000000000001</v>
      </c>
      <c r="G34" s="2">
        <v>1587</v>
      </c>
      <c r="H34" s="2">
        <v>54487</v>
      </c>
      <c r="I34">
        <v>0</v>
      </c>
      <c r="J34" s="2">
        <v>52900</v>
      </c>
      <c r="K34">
        <v>0</v>
      </c>
      <c r="L34" s="2">
        <v>52900</v>
      </c>
      <c r="M34" s="1">
        <v>0</v>
      </c>
      <c r="N34" s="1">
        <v>0</v>
      </c>
    </row>
    <row r="35" spans="1:14" x14ac:dyDescent="0.3">
      <c r="A35" t="str">
        <v>E0034</v>
      </c>
      <c r="B35" t="str">
        <v>Policy &amp; Research</v>
      </c>
      <c r="C35" t="str">
        <v>Research Assistant</v>
      </c>
      <c r="D35" s="2">
        <v>54600</v>
      </c>
      <c r="E35" s="2">
        <v>52000</v>
      </c>
      <c r="F35" s="3">
        <v>1.05</v>
      </c>
      <c r="G35" s="2">
        <v>1638</v>
      </c>
      <c r="H35" s="2">
        <v>56238</v>
      </c>
      <c r="I35">
        <v>0</v>
      </c>
      <c r="J35" s="2">
        <v>54600</v>
      </c>
      <c r="K35">
        <v>0</v>
      </c>
      <c r="L35" s="2">
        <v>54600</v>
      </c>
      <c r="M35" s="1">
        <v>0</v>
      </c>
      <c r="N35" s="1">
        <v>0</v>
      </c>
    </row>
    <row r="36" spans="1:14" x14ac:dyDescent="0.3">
      <c r="A36" t="str">
        <v>E0035</v>
      </c>
      <c r="B36" t="str">
        <v>Finance</v>
      </c>
      <c r="C36" t="str">
        <v>Financial Analyst</v>
      </c>
      <c r="D36" s="2">
        <v>76500</v>
      </c>
      <c r="E36" s="2">
        <v>70000</v>
      </c>
      <c r="F36" s="3">
        <v>1.0928571428571427</v>
      </c>
      <c r="G36" s="2">
        <v>2295</v>
      </c>
      <c r="H36" s="2">
        <v>78795</v>
      </c>
      <c r="I36">
        <v>0</v>
      </c>
      <c r="J36" s="2">
        <v>76500</v>
      </c>
      <c r="K36">
        <v>0</v>
      </c>
      <c r="L36" s="2">
        <v>76500</v>
      </c>
      <c r="M36" s="1">
        <v>0</v>
      </c>
      <c r="N36" s="1">
        <v>0</v>
      </c>
    </row>
    <row r="37" spans="1:14" x14ac:dyDescent="0.3">
      <c r="A37" t="str">
        <v>E0036</v>
      </c>
      <c r="B37" t="str">
        <v>Policy &amp; Research</v>
      </c>
      <c r="C37" t="str">
        <v>Policy Analyst</v>
      </c>
      <c r="D37" s="2">
        <v>76100</v>
      </c>
      <c r="E37" s="2">
        <v>72000</v>
      </c>
      <c r="F37" s="3">
        <v>1.0569444444444445</v>
      </c>
      <c r="G37" s="2">
        <v>2283</v>
      </c>
      <c r="H37" s="2">
        <v>78383</v>
      </c>
      <c r="I37">
        <v>0</v>
      </c>
      <c r="J37" s="2">
        <v>76100</v>
      </c>
      <c r="K37">
        <v>0</v>
      </c>
      <c r="L37" s="2">
        <v>76100</v>
      </c>
      <c r="M37" s="1">
        <v>0</v>
      </c>
      <c r="N37" s="1">
        <v>0</v>
      </c>
    </row>
    <row r="38" spans="1:14" x14ac:dyDescent="0.3">
      <c r="A38" t="str">
        <v>E0037</v>
      </c>
      <c r="B38" t="str">
        <v>Information Technology</v>
      </c>
      <c r="C38" t="str">
        <v>Senior Systems Analyst</v>
      </c>
      <c r="D38" s="2">
        <v>100200</v>
      </c>
      <c r="E38" s="2">
        <v>98000</v>
      </c>
      <c r="F38" s="3">
        <v>1.0224489795918368</v>
      </c>
      <c r="G38" s="2">
        <v>3006</v>
      </c>
      <c r="H38" s="2">
        <v>103206</v>
      </c>
      <c r="I38">
        <v>0</v>
      </c>
      <c r="J38" s="2">
        <v>100200</v>
      </c>
      <c r="K38">
        <v>0</v>
      </c>
      <c r="L38" s="2">
        <v>100200</v>
      </c>
      <c r="M38" s="1">
        <v>0</v>
      </c>
      <c r="N38" s="1">
        <v>0</v>
      </c>
    </row>
    <row r="39" spans="1:14" x14ac:dyDescent="0.3">
      <c r="A39" t="str">
        <v>E0038</v>
      </c>
      <c r="B39" t="str">
        <v>Policy &amp; Research</v>
      </c>
      <c r="C39" t="str">
        <v>Policy Analyst</v>
      </c>
      <c r="D39" s="2">
        <v>63900</v>
      </c>
      <c r="E39" s="2">
        <v>72000</v>
      </c>
      <c r="F39" s="3">
        <v>0.88749999999999996</v>
      </c>
      <c r="G39" s="2">
        <v>1917</v>
      </c>
      <c r="H39" s="2">
        <v>65817</v>
      </c>
      <c r="I39">
        <v>900</v>
      </c>
      <c r="J39" s="2">
        <v>64800</v>
      </c>
      <c r="K39">
        <v>4500</v>
      </c>
      <c r="L39" s="2">
        <v>68400</v>
      </c>
      <c r="M39" s="1">
        <v>1</v>
      </c>
      <c r="N39" s="1">
        <v>1</v>
      </c>
    </row>
    <row r="40" spans="1:14" x14ac:dyDescent="0.3">
      <c r="A40" t="str">
        <v>E0039</v>
      </c>
      <c r="B40" t="str">
        <v>Administration</v>
      </c>
      <c r="C40" t="str">
        <v>Administrative Assistant</v>
      </c>
      <c r="D40" s="2">
        <v>43600</v>
      </c>
      <c r="E40" s="2">
        <v>48000</v>
      </c>
      <c r="F40" s="3">
        <v>0.90833333333333333</v>
      </c>
      <c r="G40" s="2">
        <v>1308</v>
      </c>
      <c r="H40" s="2">
        <v>44908</v>
      </c>
      <c r="I40">
        <v>0</v>
      </c>
      <c r="J40" s="2">
        <v>43600</v>
      </c>
      <c r="K40">
        <v>2000</v>
      </c>
      <c r="L40" s="2">
        <v>45600</v>
      </c>
      <c r="M40" s="1">
        <v>0</v>
      </c>
      <c r="N40" s="1">
        <v>1</v>
      </c>
    </row>
    <row r="41" spans="1:14" x14ac:dyDescent="0.3">
      <c r="A41" t="str">
        <v>E0040</v>
      </c>
      <c r="B41" t="str">
        <v>Information Technology</v>
      </c>
      <c r="C41" t="str">
        <v>Senior Systems Analyst</v>
      </c>
      <c r="D41" s="2">
        <v>101500</v>
      </c>
      <c r="E41" s="2">
        <v>98000</v>
      </c>
      <c r="F41" s="3">
        <v>1.0357142857142858</v>
      </c>
      <c r="G41" s="2">
        <v>3045</v>
      </c>
      <c r="H41" s="2">
        <v>104545</v>
      </c>
      <c r="I41">
        <v>0</v>
      </c>
      <c r="J41" s="2">
        <v>101500</v>
      </c>
      <c r="K41">
        <v>0</v>
      </c>
      <c r="L41" s="2">
        <v>101500</v>
      </c>
      <c r="M41" s="1">
        <v>0</v>
      </c>
      <c r="N41" s="1">
        <v>0</v>
      </c>
    </row>
    <row r="42" spans="1:14" x14ac:dyDescent="0.3">
      <c r="A42" t="str">
        <v>E0041</v>
      </c>
      <c r="B42" t="str">
        <v>Information Technology</v>
      </c>
      <c r="C42" t="str">
        <v>Senior Systems Analyst</v>
      </c>
      <c r="D42" s="2">
        <v>97300</v>
      </c>
      <c r="E42" s="2">
        <v>98000</v>
      </c>
      <c r="F42" s="3">
        <v>0.99285714285714288</v>
      </c>
      <c r="G42" s="2">
        <v>2919</v>
      </c>
      <c r="H42" s="2">
        <v>100219</v>
      </c>
      <c r="I42">
        <v>0</v>
      </c>
      <c r="J42" s="2">
        <v>97300</v>
      </c>
      <c r="K42">
        <v>0</v>
      </c>
      <c r="L42" s="2">
        <v>97300</v>
      </c>
      <c r="M42" s="1">
        <v>0</v>
      </c>
      <c r="N42" s="1">
        <v>0</v>
      </c>
    </row>
    <row r="43" spans="1:14" x14ac:dyDescent="0.3">
      <c r="A43" t="str">
        <v>E0042</v>
      </c>
      <c r="B43" t="str">
        <v>Administration</v>
      </c>
      <c r="C43" t="str">
        <v>Office Manager</v>
      </c>
      <c r="D43" s="2">
        <v>50600</v>
      </c>
      <c r="E43" s="2">
        <v>72000</v>
      </c>
      <c r="F43" s="3">
        <v>0.70277777777777772</v>
      </c>
      <c r="G43" s="2">
        <v>1518</v>
      </c>
      <c r="H43" s="2">
        <v>52118</v>
      </c>
      <c r="I43">
        <v>14200</v>
      </c>
      <c r="J43" s="2">
        <v>64800</v>
      </c>
      <c r="K43">
        <v>17800</v>
      </c>
      <c r="L43" s="2">
        <v>68400</v>
      </c>
      <c r="M43" s="1">
        <v>1</v>
      </c>
      <c r="N43" s="1">
        <v>1</v>
      </c>
    </row>
    <row r="44" spans="1:14" x14ac:dyDescent="0.3">
      <c r="A44" t="str">
        <v>E0043</v>
      </c>
      <c r="B44" t="str">
        <v>Operations</v>
      </c>
      <c r="C44" t="str">
        <v>Operations Analyst</v>
      </c>
      <c r="D44" s="2">
        <v>53000</v>
      </c>
      <c r="E44" s="2">
        <v>68000</v>
      </c>
      <c r="F44" s="3">
        <v>0.77941176470588236</v>
      </c>
      <c r="G44" s="2">
        <v>1590</v>
      </c>
      <c r="H44" s="2">
        <v>54590</v>
      </c>
      <c r="I44">
        <v>8200</v>
      </c>
      <c r="J44" s="2">
        <v>61200</v>
      </c>
      <c r="K44">
        <v>11600</v>
      </c>
      <c r="L44" s="2">
        <v>64600</v>
      </c>
      <c r="M44" s="1">
        <v>1</v>
      </c>
      <c r="N44" s="1">
        <v>1</v>
      </c>
    </row>
    <row r="45" spans="1:14" x14ac:dyDescent="0.3">
      <c r="A45" t="str">
        <v>E0044</v>
      </c>
      <c r="B45" t="str">
        <v>Administration</v>
      </c>
      <c r="C45" t="str">
        <v>Administrative Coordinator</v>
      </c>
      <c r="D45" s="2">
        <v>55800</v>
      </c>
      <c r="E45" s="2">
        <v>58000</v>
      </c>
      <c r="F45" s="3">
        <v>0.96206896551724141</v>
      </c>
      <c r="G45" s="2">
        <v>1674</v>
      </c>
      <c r="H45" s="2">
        <v>57474</v>
      </c>
      <c r="I45">
        <v>0</v>
      </c>
      <c r="J45" s="2">
        <v>55800</v>
      </c>
      <c r="K45">
        <v>0</v>
      </c>
      <c r="L45" s="2">
        <v>55800</v>
      </c>
      <c r="M45" s="1">
        <v>0</v>
      </c>
      <c r="N45" s="1">
        <v>0</v>
      </c>
    </row>
    <row r="46" spans="1:14" x14ac:dyDescent="0.3">
      <c r="A46" t="str">
        <v>E0045</v>
      </c>
      <c r="B46" t="str">
        <v>Human Resources</v>
      </c>
      <c r="C46" t="str">
        <v>HR Advisor</v>
      </c>
      <c r="D46" s="2">
        <v>84600</v>
      </c>
      <c r="E46" s="2">
        <v>82000</v>
      </c>
      <c r="F46" s="3">
        <v>1.0317073170731708</v>
      </c>
      <c r="G46" s="2">
        <v>2538</v>
      </c>
      <c r="H46" s="2">
        <v>87138</v>
      </c>
      <c r="I46">
        <v>0</v>
      </c>
      <c r="J46" s="2">
        <v>84600</v>
      </c>
      <c r="K46">
        <v>0</v>
      </c>
      <c r="L46" s="2">
        <v>84600</v>
      </c>
      <c r="M46" s="1">
        <v>0</v>
      </c>
      <c r="N46" s="1">
        <v>0</v>
      </c>
    </row>
    <row r="47" spans="1:14" x14ac:dyDescent="0.3">
      <c r="A47" t="str">
        <v>E0046</v>
      </c>
      <c r="B47" t="str">
        <v>Information Technology</v>
      </c>
      <c r="C47" t="str">
        <v>Systems Analyst</v>
      </c>
      <c r="D47" s="2">
        <v>77800</v>
      </c>
      <c r="E47" s="2">
        <v>78000</v>
      </c>
      <c r="F47" s="3">
        <v>0.99743589743589745</v>
      </c>
      <c r="G47" s="2">
        <v>2334</v>
      </c>
      <c r="H47" s="2">
        <v>80134</v>
      </c>
      <c r="I47">
        <v>0</v>
      </c>
      <c r="J47" s="2">
        <v>77800</v>
      </c>
      <c r="K47">
        <v>0</v>
      </c>
      <c r="L47" s="2">
        <v>77800</v>
      </c>
      <c r="M47" s="1">
        <v>0</v>
      </c>
      <c r="N47" s="1">
        <v>0</v>
      </c>
    </row>
    <row r="48" spans="1:14" x14ac:dyDescent="0.3">
      <c r="A48" t="str">
        <v>E0047</v>
      </c>
      <c r="B48" t="str">
        <v>Human Resources</v>
      </c>
      <c r="C48" t="str">
        <v>HR Assistant</v>
      </c>
      <c r="D48" s="2">
        <v>51800</v>
      </c>
      <c r="E48" s="2">
        <v>50000</v>
      </c>
      <c r="F48" s="3">
        <v>1.036</v>
      </c>
      <c r="G48" s="2">
        <v>1554</v>
      </c>
      <c r="H48" s="2">
        <v>53354</v>
      </c>
      <c r="I48">
        <v>0</v>
      </c>
      <c r="J48" s="2">
        <v>51800</v>
      </c>
      <c r="K48">
        <v>0</v>
      </c>
      <c r="L48" s="2">
        <v>51800</v>
      </c>
      <c r="M48" s="1">
        <v>0</v>
      </c>
      <c r="N48" s="1">
        <v>0</v>
      </c>
    </row>
    <row r="49" spans="1:14" x14ac:dyDescent="0.3">
      <c r="A49" t="str">
        <v>E0048</v>
      </c>
      <c r="B49" t="str">
        <v>Operations</v>
      </c>
      <c r="C49" t="str">
        <v>Operations Assistant</v>
      </c>
      <c r="D49" s="2">
        <v>56400</v>
      </c>
      <c r="E49" s="2">
        <v>50000</v>
      </c>
      <c r="F49" s="3">
        <v>1.1279999999999999</v>
      </c>
      <c r="G49" s="2">
        <v>1692</v>
      </c>
      <c r="H49" s="2">
        <v>58092</v>
      </c>
      <c r="I49">
        <v>0</v>
      </c>
      <c r="J49" s="2">
        <v>56400</v>
      </c>
      <c r="K49">
        <v>0</v>
      </c>
      <c r="L49" s="2">
        <v>56400</v>
      </c>
      <c r="M49" s="1">
        <v>0</v>
      </c>
      <c r="N49" s="1">
        <v>0</v>
      </c>
    </row>
    <row r="50" spans="1:14" x14ac:dyDescent="0.3">
      <c r="A50" t="str">
        <v>E0049</v>
      </c>
      <c r="B50" t="str">
        <v>Finance</v>
      </c>
      <c r="C50" t="str">
        <v>Financial Analyst</v>
      </c>
      <c r="D50" s="2">
        <v>67600</v>
      </c>
      <c r="E50" s="2">
        <v>70000</v>
      </c>
      <c r="F50" s="3">
        <v>0.96571428571428575</v>
      </c>
      <c r="G50" s="2">
        <v>2028</v>
      </c>
      <c r="H50" s="2">
        <v>69628</v>
      </c>
      <c r="I50">
        <v>0</v>
      </c>
      <c r="J50" s="2">
        <v>67600</v>
      </c>
      <c r="K50">
        <v>0</v>
      </c>
      <c r="L50" s="2">
        <v>67600</v>
      </c>
      <c r="M50" s="1">
        <v>0</v>
      </c>
      <c r="N50" s="1">
        <v>0</v>
      </c>
    </row>
    <row r="51" spans="1:14" x14ac:dyDescent="0.3">
      <c r="A51" t="str">
        <v>E0050</v>
      </c>
      <c r="B51" t="str">
        <v>Information Technology</v>
      </c>
      <c r="C51" t="str">
        <v>IT Support Analyst</v>
      </c>
      <c r="D51" s="2">
        <v>55000</v>
      </c>
      <c r="E51" s="2">
        <v>58000</v>
      </c>
      <c r="F51" s="3">
        <v>0.94827586206896552</v>
      </c>
      <c r="G51" s="2">
        <v>1650</v>
      </c>
      <c r="H51" s="2">
        <v>56650</v>
      </c>
      <c r="I51">
        <v>0</v>
      </c>
      <c r="J51" s="2">
        <v>55000</v>
      </c>
      <c r="K51">
        <v>100</v>
      </c>
      <c r="L51" s="2">
        <v>55100</v>
      </c>
      <c r="M51" s="1">
        <v>0</v>
      </c>
      <c r="N51" s="1">
        <v>1</v>
      </c>
    </row>
    <row r="52" spans="1:14" x14ac:dyDescent="0.3">
      <c r="A52" t="str">
        <v>E0051</v>
      </c>
      <c r="B52" t="str">
        <v>Policy &amp; Research</v>
      </c>
      <c r="C52" t="str">
        <v>Senior Policy Analyst</v>
      </c>
      <c r="D52" s="2">
        <v>77700</v>
      </c>
      <c r="E52" s="2">
        <v>90000</v>
      </c>
      <c r="F52" s="3">
        <v>0.86333333333333329</v>
      </c>
      <c r="G52" s="2">
        <v>2331</v>
      </c>
      <c r="H52" s="2">
        <v>80031</v>
      </c>
      <c r="I52">
        <v>3300</v>
      </c>
      <c r="J52" s="2">
        <v>81000</v>
      </c>
      <c r="K52">
        <v>7800</v>
      </c>
      <c r="L52" s="2">
        <v>85500</v>
      </c>
      <c r="M52" s="1">
        <v>1</v>
      </c>
      <c r="N52" s="1">
        <v>1</v>
      </c>
    </row>
    <row r="53" spans="1:14" x14ac:dyDescent="0.3">
      <c r="A53" t="str">
        <v>E0052</v>
      </c>
      <c r="B53" t="str">
        <v>Human Resources</v>
      </c>
      <c r="C53" t="str">
        <v>HR Analyst</v>
      </c>
      <c r="D53" s="2">
        <v>65600</v>
      </c>
      <c r="E53" s="2">
        <v>68000</v>
      </c>
      <c r="F53" s="3">
        <v>0.96470588235294119</v>
      </c>
      <c r="G53" s="2">
        <v>1968</v>
      </c>
      <c r="H53" s="2">
        <v>67568</v>
      </c>
      <c r="I53">
        <v>0</v>
      </c>
      <c r="J53" s="2">
        <v>65600</v>
      </c>
      <c r="K53">
        <v>0</v>
      </c>
      <c r="L53" s="2">
        <v>65600</v>
      </c>
      <c r="M53" s="1">
        <v>0</v>
      </c>
      <c r="N53" s="1">
        <v>0</v>
      </c>
    </row>
    <row r="54" spans="1:14" x14ac:dyDescent="0.3">
      <c r="A54" t="str">
        <v>E0053</v>
      </c>
      <c r="B54" t="str">
        <v>Operations</v>
      </c>
      <c r="C54" t="str">
        <v>Operations Assistant</v>
      </c>
      <c r="D54" s="2">
        <v>53500</v>
      </c>
      <c r="E54" s="2">
        <v>50000</v>
      </c>
      <c r="F54" s="3">
        <v>1.07</v>
      </c>
      <c r="G54" s="2">
        <v>1605</v>
      </c>
      <c r="H54" s="2">
        <v>55105</v>
      </c>
      <c r="I54">
        <v>0</v>
      </c>
      <c r="J54" s="2">
        <v>53500</v>
      </c>
      <c r="K54">
        <v>0</v>
      </c>
      <c r="L54" s="2">
        <v>53500</v>
      </c>
      <c r="M54" s="1">
        <v>0</v>
      </c>
      <c r="N54" s="1">
        <v>0</v>
      </c>
    </row>
    <row r="55" spans="1:14" x14ac:dyDescent="0.3">
      <c r="A55" t="str">
        <v>E0054</v>
      </c>
      <c r="B55" t="str">
        <v>Operations</v>
      </c>
      <c r="C55" t="str">
        <v>Operations Assistant</v>
      </c>
      <c r="D55" s="2">
        <v>50200</v>
      </c>
      <c r="E55" s="2">
        <v>50000</v>
      </c>
      <c r="F55" s="3">
        <v>1.004</v>
      </c>
      <c r="G55" s="2">
        <v>1506</v>
      </c>
      <c r="H55" s="2">
        <v>51706</v>
      </c>
      <c r="I55">
        <v>0</v>
      </c>
      <c r="J55" s="2">
        <v>50200</v>
      </c>
      <c r="K55">
        <v>0</v>
      </c>
      <c r="L55" s="2">
        <v>50200</v>
      </c>
      <c r="M55" s="1">
        <v>0</v>
      </c>
      <c r="N55" s="1">
        <v>0</v>
      </c>
    </row>
    <row r="56" spans="1:14" x14ac:dyDescent="0.3">
      <c r="A56" t="str">
        <v>E0055</v>
      </c>
      <c r="B56" t="str">
        <v>Policy &amp; Research</v>
      </c>
      <c r="C56" t="str">
        <v>Research Assistant</v>
      </c>
      <c r="D56" s="2">
        <v>49600</v>
      </c>
      <c r="E56" s="2">
        <v>52000</v>
      </c>
      <c r="F56" s="3">
        <v>0.9538461538461539</v>
      </c>
      <c r="G56" s="2">
        <v>1488</v>
      </c>
      <c r="H56" s="2">
        <v>51088</v>
      </c>
      <c r="I56">
        <v>0</v>
      </c>
      <c r="J56" s="2">
        <v>49600</v>
      </c>
      <c r="K56">
        <v>0</v>
      </c>
      <c r="L56" s="2">
        <v>49600</v>
      </c>
      <c r="M56" s="1">
        <v>0</v>
      </c>
      <c r="N56" s="1">
        <v>0</v>
      </c>
    </row>
    <row r="57" spans="1:14" x14ac:dyDescent="0.3">
      <c r="A57" t="str">
        <v>E0056</v>
      </c>
      <c r="B57" t="str">
        <v>Administration</v>
      </c>
      <c r="C57" t="str">
        <v>Administrative Coordinator</v>
      </c>
      <c r="D57" s="2">
        <v>54300</v>
      </c>
      <c r="E57" s="2">
        <v>58000</v>
      </c>
      <c r="F57" s="3">
        <v>0.93620689655172418</v>
      </c>
      <c r="G57" s="2">
        <v>1629</v>
      </c>
      <c r="H57" s="2">
        <v>55929</v>
      </c>
      <c r="I57">
        <v>0</v>
      </c>
      <c r="J57" s="2">
        <v>54300</v>
      </c>
      <c r="K57">
        <v>800</v>
      </c>
      <c r="L57" s="2">
        <v>55100</v>
      </c>
      <c r="M57" s="1">
        <v>0</v>
      </c>
      <c r="N57" s="1">
        <v>1</v>
      </c>
    </row>
    <row r="58" spans="1:14" x14ac:dyDescent="0.3">
      <c r="A58" t="str">
        <v>E0057</v>
      </c>
      <c r="B58" t="str">
        <v>Human Resources</v>
      </c>
      <c r="C58" t="str">
        <v>HR Assistant</v>
      </c>
      <c r="D58" s="2">
        <v>49900</v>
      </c>
      <c r="E58" s="2">
        <v>50000</v>
      </c>
      <c r="F58" s="3">
        <v>0.998</v>
      </c>
      <c r="G58" s="2">
        <v>1497</v>
      </c>
      <c r="H58" s="2">
        <v>51397</v>
      </c>
      <c r="I58">
        <v>0</v>
      </c>
      <c r="J58" s="2">
        <v>49900</v>
      </c>
      <c r="K58">
        <v>0</v>
      </c>
      <c r="L58" s="2">
        <v>49900</v>
      </c>
      <c r="M58" s="1">
        <v>0</v>
      </c>
      <c r="N58" s="1">
        <v>0</v>
      </c>
    </row>
    <row r="59" spans="1:14" x14ac:dyDescent="0.3">
      <c r="A59" t="str">
        <v>E0058</v>
      </c>
      <c r="B59" t="str">
        <v>Human Resources</v>
      </c>
      <c r="C59" t="str">
        <v>HR Assistant</v>
      </c>
      <c r="D59" s="2">
        <v>47100</v>
      </c>
      <c r="E59" s="2">
        <v>50000</v>
      </c>
      <c r="F59" s="3">
        <v>0.94199999999999995</v>
      </c>
      <c r="G59" s="2">
        <v>1413</v>
      </c>
      <c r="H59" s="2">
        <v>48513</v>
      </c>
      <c r="I59">
        <v>0</v>
      </c>
      <c r="J59" s="2">
        <v>47100</v>
      </c>
      <c r="K59">
        <v>400</v>
      </c>
      <c r="L59" s="2">
        <v>47500</v>
      </c>
      <c r="M59" s="1">
        <v>0</v>
      </c>
      <c r="N59" s="1">
        <v>1</v>
      </c>
    </row>
    <row r="60" spans="1:14" x14ac:dyDescent="0.3">
      <c r="A60" t="str">
        <v>E0059</v>
      </c>
      <c r="B60" t="str">
        <v>Policy &amp; Research</v>
      </c>
      <c r="C60" t="str">
        <v>Senior Policy Analyst</v>
      </c>
      <c r="D60" s="2">
        <v>87400</v>
      </c>
      <c r="E60" s="2">
        <v>90000</v>
      </c>
      <c r="F60" s="3">
        <v>0.97111111111111115</v>
      </c>
      <c r="G60" s="2">
        <v>2622</v>
      </c>
      <c r="H60" s="2">
        <v>90022</v>
      </c>
      <c r="I60">
        <v>0</v>
      </c>
      <c r="J60" s="2">
        <v>87400</v>
      </c>
      <c r="K60">
        <v>0</v>
      </c>
      <c r="L60" s="2">
        <v>87400</v>
      </c>
      <c r="M60" s="1">
        <v>0</v>
      </c>
      <c r="N60" s="1">
        <v>0</v>
      </c>
    </row>
    <row r="61" spans="1:14" x14ac:dyDescent="0.3">
      <c r="A61" t="str">
        <v>E0060</v>
      </c>
      <c r="B61" t="str">
        <v>Operations</v>
      </c>
      <c r="C61" t="str">
        <v>Operations Analyst</v>
      </c>
      <c r="D61" s="2">
        <v>56100</v>
      </c>
      <c r="E61" s="2">
        <v>68000</v>
      </c>
      <c r="F61" s="3">
        <v>0.82499999999999996</v>
      </c>
      <c r="G61" s="2">
        <v>1683</v>
      </c>
      <c r="H61" s="2">
        <v>57783</v>
      </c>
      <c r="I61">
        <v>5100</v>
      </c>
      <c r="J61" s="2">
        <v>61200</v>
      </c>
      <c r="K61">
        <v>8500</v>
      </c>
      <c r="L61" s="2">
        <v>64600</v>
      </c>
      <c r="M61" s="1">
        <v>1</v>
      </c>
      <c r="N61" s="1">
        <v>1</v>
      </c>
    </row>
    <row r="62" spans="1:14" x14ac:dyDescent="0.3">
      <c r="A62" t="str">
        <v>E0061</v>
      </c>
      <c r="B62" t="str">
        <v>Finance</v>
      </c>
      <c r="C62" t="str">
        <v>Senior Financial Analyst</v>
      </c>
      <c r="D62" s="2">
        <v>74600</v>
      </c>
      <c r="E62" s="2">
        <v>88000</v>
      </c>
      <c r="F62" s="3">
        <v>0.84772727272727277</v>
      </c>
      <c r="G62" s="2">
        <v>2238</v>
      </c>
      <c r="H62" s="2">
        <v>76838</v>
      </c>
      <c r="I62">
        <v>4600</v>
      </c>
      <c r="J62" s="2">
        <v>79200</v>
      </c>
      <c r="K62">
        <v>9000</v>
      </c>
      <c r="L62" s="2">
        <v>83600</v>
      </c>
      <c r="M62" s="1">
        <v>1</v>
      </c>
      <c r="N62" s="1">
        <v>1</v>
      </c>
    </row>
    <row r="63" spans="1:14" x14ac:dyDescent="0.3">
      <c r="A63" t="str">
        <v>E0062</v>
      </c>
      <c r="B63" t="str">
        <v>Administration</v>
      </c>
      <c r="C63" t="str">
        <v>Administrative Assistant</v>
      </c>
      <c r="D63" s="2">
        <v>39900</v>
      </c>
      <c r="E63" s="2">
        <v>48000</v>
      </c>
      <c r="F63" s="3">
        <v>0.83125000000000004</v>
      </c>
      <c r="G63" s="2">
        <v>1197</v>
      </c>
      <c r="H63" s="2">
        <v>41097</v>
      </c>
      <c r="I63">
        <v>3300</v>
      </c>
      <c r="J63" s="2">
        <v>43200</v>
      </c>
      <c r="K63">
        <v>5700</v>
      </c>
      <c r="L63" s="2">
        <v>45600</v>
      </c>
      <c r="M63" s="1">
        <v>1</v>
      </c>
      <c r="N63" s="1">
        <v>1</v>
      </c>
    </row>
    <row r="64" spans="1:14" x14ac:dyDescent="0.3">
      <c r="A64" t="str">
        <v>E0063</v>
      </c>
      <c r="B64" t="str">
        <v>Policy &amp; Research</v>
      </c>
      <c r="C64" t="str">
        <v>Policy Analyst</v>
      </c>
      <c r="D64" s="2">
        <v>63100</v>
      </c>
      <c r="E64" s="2">
        <v>72000</v>
      </c>
      <c r="F64" s="3">
        <v>0.87638888888888888</v>
      </c>
      <c r="G64" s="2">
        <v>1893</v>
      </c>
      <c r="H64" s="2">
        <v>64993</v>
      </c>
      <c r="I64">
        <v>1700</v>
      </c>
      <c r="J64" s="2">
        <v>64800</v>
      </c>
      <c r="K64">
        <v>5300</v>
      </c>
      <c r="L64" s="2">
        <v>68400</v>
      </c>
      <c r="M64" s="1">
        <v>1</v>
      </c>
      <c r="N64" s="1">
        <v>1</v>
      </c>
    </row>
    <row r="65" spans="1:14" x14ac:dyDescent="0.3">
      <c r="A65" t="str">
        <v>E0064</v>
      </c>
      <c r="B65" t="str">
        <v>Administration</v>
      </c>
      <c r="C65" t="str">
        <v>Administrative Assistant</v>
      </c>
      <c r="D65" s="2">
        <v>46500</v>
      </c>
      <c r="E65" s="2">
        <v>48000</v>
      </c>
      <c r="F65" s="3">
        <v>0.96875</v>
      </c>
      <c r="G65" s="2">
        <v>1395</v>
      </c>
      <c r="H65" s="2">
        <v>47895</v>
      </c>
      <c r="I65">
        <v>0</v>
      </c>
      <c r="J65" s="2">
        <v>46500</v>
      </c>
      <c r="K65">
        <v>0</v>
      </c>
      <c r="L65" s="2">
        <v>46500</v>
      </c>
      <c r="M65" s="1">
        <v>0</v>
      </c>
      <c r="N65" s="1">
        <v>0</v>
      </c>
    </row>
    <row r="66" spans="1:14" x14ac:dyDescent="0.3">
      <c r="A66" t="str">
        <v>E0065</v>
      </c>
      <c r="B66" t="str">
        <v>Operations</v>
      </c>
      <c r="C66" t="str">
        <v>Operations Analyst</v>
      </c>
      <c r="D66" s="2">
        <v>65100</v>
      </c>
      <c r="E66" s="2">
        <v>68000</v>
      </c>
      <c r="F66" s="3">
        <v>0.95735294117647063</v>
      </c>
      <c r="G66" s="2">
        <v>1953</v>
      </c>
      <c r="H66" s="2">
        <v>67053</v>
      </c>
      <c r="I66">
        <v>0</v>
      </c>
      <c r="J66" s="2">
        <v>65100</v>
      </c>
      <c r="K66">
        <v>0</v>
      </c>
      <c r="L66" s="2">
        <v>65100</v>
      </c>
      <c r="M66" s="1">
        <v>0</v>
      </c>
      <c r="N66" s="1">
        <v>0</v>
      </c>
    </row>
    <row r="67" spans="1:14" x14ac:dyDescent="0.3">
      <c r="A67" t="str">
        <v>E0066</v>
      </c>
      <c r="B67" t="str">
        <v>Operations</v>
      </c>
      <c r="C67" t="str">
        <v>Operations Manager</v>
      </c>
      <c r="D67" s="2">
        <v>77300</v>
      </c>
      <c r="E67" s="2">
        <v>85000</v>
      </c>
      <c r="F67" s="3">
        <v>0.90941176470588236</v>
      </c>
      <c r="G67" s="2">
        <v>2319</v>
      </c>
      <c r="H67" s="2">
        <v>79619</v>
      </c>
      <c r="I67">
        <v>0</v>
      </c>
      <c r="J67" s="2">
        <v>77300</v>
      </c>
      <c r="K67">
        <v>3450</v>
      </c>
      <c r="L67" s="2">
        <v>80750</v>
      </c>
      <c r="M67" s="1">
        <v>0</v>
      </c>
      <c r="N67" s="1">
        <v>1</v>
      </c>
    </row>
    <row r="68" spans="1:14" x14ac:dyDescent="0.3">
      <c r="A68" t="str">
        <v>E0067</v>
      </c>
      <c r="B68" t="str">
        <v>Operations</v>
      </c>
      <c r="C68" t="str">
        <v>Operations Manager</v>
      </c>
      <c r="D68" s="2">
        <v>94000</v>
      </c>
      <c r="E68" s="2">
        <v>85000</v>
      </c>
      <c r="F68" s="3">
        <v>1.1058823529411765</v>
      </c>
      <c r="G68" s="2">
        <v>2820</v>
      </c>
      <c r="H68" s="2">
        <v>96820</v>
      </c>
      <c r="I68">
        <v>0</v>
      </c>
      <c r="J68" s="2">
        <v>94000</v>
      </c>
      <c r="K68">
        <v>0</v>
      </c>
      <c r="L68" s="2">
        <v>94000</v>
      </c>
      <c r="M68" s="1">
        <v>0</v>
      </c>
      <c r="N68" s="1">
        <v>0</v>
      </c>
    </row>
    <row r="69" spans="1:14" x14ac:dyDescent="0.3">
      <c r="A69" t="str">
        <v>E0068</v>
      </c>
      <c r="B69" t="str">
        <v>Information Technology</v>
      </c>
      <c r="C69" t="str">
        <v>IT Support Analyst</v>
      </c>
      <c r="D69" s="2">
        <v>55800</v>
      </c>
      <c r="E69" s="2">
        <v>58000</v>
      </c>
      <c r="F69" s="3">
        <v>0.96206896551724141</v>
      </c>
      <c r="G69" s="2">
        <v>1674</v>
      </c>
      <c r="H69" s="2">
        <v>57474</v>
      </c>
      <c r="I69">
        <v>0</v>
      </c>
      <c r="J69" s="2">
        <v>55800</v>
      </c>
      <c r="K69">
        <v>0</v>
      </c>
      <c r="L69" s="2">
        <v>55800</v>
      </c>
      <c r="M69" s="1">
        <v>0</v>
      </c>
      <c r="N69" s="1">
        <v>0</v>
      </c>
    </row>
    <row r="70" spans="1:14" x14ac:dyDescent="0.3">
      <c r="A70" t="str">
        <v>E0069</v>
      </c>
      <c r="B70" t="str">
        <v>Policy &amp; Research</v>
      </c>
      <c r="C70" t="str">
        <v>Policy Analyst</v>
      </c>
      <c r="D70" s="2">
        <v>67600</v>
      </c>
      <c r="E70" s="2">
        <v>72000</v>
      </c>
      <c r="F70" s="3">
        <v>0.93888888888888888</v>
      </c>
      <c r="G70" s="2">
        <v>2028</v>
      </c>
      <c r="H70" s="2">
        <v>69628</v>
      </c>
      <c r="I70">
        <v>0</v>
      </c>
      <c r="J70" s="2">
        <v>67600</v>
      </c>
      <c r="K70">
        <v>800</v>
      </c>
      <c r="L70" s="2">
        <v>68400</v>
      </c>
      <c r="M70" s="1">
        <v>0</v>
      </c>
      <c r="N70" s="1">
        <v>1</v>
      </c>
    </row>
    <row r="71" spans="1:14" x14ac:dyDescent="0.3">
      <c r="A71" t="str">
        <v>E0070</v>
      </c>
      <c r="B71" t="str">
        <v>Human Resources</v>
      </c>
      <c r="C71" t="str">
        <v>HR Analyst</v>
      </c>
      <c r="D71" s="2">
        <v>61300</v>
      </c>
      <c r="E71" s="2">
        <v>68000</v>
      </c>
      <c r="F71" s="3">
        <v>0.90147058823529413</v>
      </c>
      <c r="G71" s="2">
        <v>1839</v>
      </c>
      <c r="H71" s="2">
        <v>63139</v>
      </c>
      <c r="I71">
        <v>0</v>
      </c>
      <c r="J71" s="2">
        <v>61300</v>
      </c>
      <c r="K71">
        <v>3300</v>
      </c>
      <c r="L71" s="2">
        <v>64600</v>
      </c>
      <c r="M71" s="1">
        <v>0</v>
      </c>
      <c r="N71" s="1">
        <v>1</v>
      </c>
    </row>
    <row r="72" spans="1:14" x14ac:dyDescent="0.3">
      <c r="A72" t="str">
        <v>E0071</v>
      </c>
      <c r="B72" t="str">
        <v>Operations</v>
      </c>
      <c r="C72" t="str">
        <v>Operations Manager</v>
      </c>
      <c r="D72" s="2">
        <v>67600</v>
      </c>
      <c r="E72" s="2">
        <v>85000</v>
      </c>
      <c r="F72" s="3">
        <v>0.79529411764705882</v>
      </c>
      <c r="G72" s="2">
        <v>2028</v>
      </c>
      <c r="H72" s="2">
        <v>69628</v>
      </c>
      <c r="I72">
        <v>8900</v>
      </c>
      <c r="J72" s="2">
        <v>76500</v>
      </c>
      <c r="K72">
        <v>13150</v>
      </c>
      <c r="L72" s="2">
        <v>80750</v>
      </c>
      <c r="M72" s="1">
        <v>1</v>
      </c>
      <c r="N72" s="1">
        <v>1</v>
      </c>
    </row>
    <row r="73" spans="1:14" x14ac:dyDescent="0.3">
      <c r="A73" t="str">
        <v>E0072</v>
      </c>
      <c r="B73" t="str">
        <v>Operations</v>
      </c>
      <c r="C73" t="str">
        <v>Operations Assistant</v>
      </c>
      <c r="D73" s="2">
        <v>45800</v>
      </c>
      <c r="E73" s="2">
        <v>50000</v>
      </c>
      <c r="F73" s="3">
        <v>0.91600000000000004</v>
      </c>
      <c r="G73" s="2">
        <v>1374</v>
      </c>
      <c r="H73" s="2">
        <v>47174</v>
      </c>
      <c r="I73">
        <v>0</v>
      </c>
      <c r="J73" s="2">
        <v>45800</v>
      </c>
      <c r="K73">
        <v>1700</v>
      </c>
      <c r="L73" s="2">
        <v>47500</v>
      </c>
      <c r="M73" s="1">
        <v>0</v>
      </c>
      <c r="N73" s="1">
        <v>1</v>
      </c>
    </row>
    <row r="74" spans="1:14" x14ac:dyDescent="0.3">
      <c r="A74" t="str">
        <v>E0073</v>
      </c>
      <c r="B74" t="str">
        <v>Administration</v>
      </c>
      <c r="C74" t="str">
        <v>Administrative Assistant</v>
      </c>
      <c r="D74" s="2">
        <v>53500</v>
      </c>
      <c r="E74" s="2">
        <v>48000</v>
      </c>
      <c r="F74" s="3">
        <v>1.1145833333333333</v>
      </c>
      <c r="G74" s="2">
        <v>1605</v>
      </c>
      <c r="H74" s="2">
        <v>55105</v>
      </c>
      <c r="I74">
        <v>0</v>
      </c>
      <c r="J74" s="2">
        <v>53500</v>
      </c>
      <c r="K74">
        <v>0</v>
      </c>
      <c r="L74" s="2">
        <v>53500</v>
      </c>
      <c r="M74" s="1">
        <v>0</v>
      </c>
      <c r="N74" s="1">
        <v>0</v>
      </c>
    </row>
    <row r="75" spans="1:14" x14ac:dyDescent="0.3">
      <c r="A75" t="str">
        <v>E0074</v>
      </c>
      <c r="B75" t="str">
        <v>Human Resources</v>
      </c>
      <c r="C75" t="str">
        <v>HR Analyst</v>
      </c>
      <c r="D75" s="2">
        <v>61500</v>
      </c>
      <c r="E75" s="2">
        <v>68000</v>
      </c>
      <c r="F75" s="3">
        <v>0.90441176470588236</v>
      </c>
      <c r="G75" s="2">
        <v>1845</v>
      </c>
      <c r="H75" s="2">
        <v>63345</v>
      </c>
      <c r="I75">
        <v>0</v>
      </c>
      <c r="J75" s="2">
        <v>61500</v>
      </c>
      <c r="K75">
        <v>3100</v>
      </c>
      <c r="L75" s="2">
        <v>64600</v>
      </c>
      <c r="M75" s="1">
        <v>0</v>
      </c>
      <c r="N75" s="1">
        <v>1</v>
      </c>
    </row>
    <row r="76" spans="1:14" x14ac:dyDescent="0.3">
      <c r="A76" t="str">
        <v>E0075</v>
      </c>
      <c r="B76" t="str">
        <v>Operations</v>
      </c>
      <c r="C76" t="str">
        <v>Operations Assistant</v>
      </c>
      <c r="D76" s="2">
        <v>46100</v>
      </c>
      <c r="E76" s="2">
        <v>50000</v>
      </c>
      <c r="F76" s="3">
        <v>0.92200000000000004</v>
      </c>
      <c r="G76" s="2">
        <v>1383</v>
      </c>
      <c r="H76" s="2">
        <v>47483</v>
      </c>
      <c r="I76">
        <v>0</v>
      </c>
      <c r="J76" s="2">
        <v>46100</v>
      </c>
      <c r="K76">
        <v>1400</v>
      </c>
      <c r="L76" s="2">
        <v>47500</v>
      </c>
      <c r="M76" s="1">
        <v>0</v>
      </c>
      <c r="N76" s="1">
        <v>1</v>
      </c>
    </row>
    <row r="77" spans="1:14" x14ac:dyDescent="0.3">
      <c r="A77" t="str">
        <v>E0076</v>
      </c>
      <c r="B77" t="str">
        <v>Operations</v>
      </c>
      <c r="C77" t="str">
        <v>Operations Assistant</v>
      </c>
      <c r="D77" s="2">
        <v>44500</v>
      </c>
      <c r="E77" s="2">
        <v>50000</v>
      </c>
      <c r="F77" s="3">
        <v>0.89</v>
      </c>
      <c r="G77" s="2">
        <v>1335</v>
      </c>
      <c r="H77" s="2">
        <v>45835</v>
      </c>
      <c r="I77">
        <v>500</v>
      </c>
      <c r="J77" s="2">
        <v>45000</v>
      </c>
      <c r="K77">
        <v>3000</v>
      </c>
      <c r="L77" s="2">
        <v>47500</v>
      </c>
      <c r="M77" s="1">
        <v>1</v>
      </c>
      <c r="N77" s="1">
        <v>1</v>
      </c>
    </row>
    <row r="78" spans="1:14" x14ac:dyDescent="0.3">
      <c r="A78" t="str">
        <v>E0077</v>
      </c>
      <c r="B78" t="str">
        <v>Finance</v>
      </c>
      <c r="C78" t="str">
        <v>Finance Assistant</v>
      </c>
      <c r="D78" s="2">
        <v>60400</v>
      </c>
      <c r="E78" s="2">
        <v>52000</v>
      </c>
      <c r="F78" s="3">
        <v>1.1615384615384616</v>
      </c>
      <c r="G78" s="2">
        <v>1812</v>
      </c>
      <c r="H78" s="2">
        <v>62212</v>
      </c>
      <c r="I78">
        <v>0</v>
      </c>
      <c r="J78" s="2">
        <v>60400</v>
      </c>
      <c r="K78">
        <v>0</v>
      </c>
      <c r="L78" s="2">
        <v>60400</v>
      </c>
      <c r="M78" s="1">
        <v>0</v>
      </c>
      <c r="N78" s="1">
        <v>0</v>
      </c>
    </row>
    <row r="79" spans="1:14" x14ac:dyDescent="0.3">
      <c r="A79" t="str">
        <v>E0078</v>
      </c>
      <c r="B79" t="str">
        <v>Finance</v>
      </c>
      <c r="C79" t="str">
        <v>Financial Analyst</v>
      </c>
      <c r="D79" s="2">
        <v>63000</v>
      </c>
      <c r="E79" s="2">
        <v>70000</v>
      </c>
      <c r="F79" s="3">
        <v>0.9</v>
      </c>
      <c r="G79" s="2">
        <v>1890</v>
      </c>
      <c r="H79" s="2">
        <v>64890</v>
      </c>
      <c r="I79">
        <v>0</v>
      </c>
      <c r="J79" s="2">
        <v>63000</v>
      </c>
      <c r="K79">
        <v>3500</v>
      </c>
      <c r="L79" s="2">
        <v>66500</v>
      </c>
      <c r="M79" s="1">
        <v>0</v>
      </c>
      <c r="N79" s="1">
        <v>1</v>
      </c>
    </row>
    <row r="80" spans="1:14" x14ac:dyDescent="0.3">
      <c r="A80" t="str">
        <v>E0079</v>
      </c>
      <c r="B80" t="str">
        <v>Information Technology</v>
      </c>
      <c r="C80" t="str">
        <v>Senior Systems Analyst</v>
      </c>
      <c r="D80" s="2">
        <v>104500</v>
      </c>
      <c r="E80" s="2">
        <v>98000</v>
      </c>
      <c r="F80" s="3">
        <v>1.0663265306122449</v>
      </c>
      <c r="G80" s="2">
        <v>3135</v>
      </c>
      <c r="H80" s="2">
        <v>107635</v>
      </c>
      <c r="I80">
        <v>0</v>
      </c>
      <c r="J80" s="2">
        <v>104500</v>
      </c>
      <c r="K80">
        <v>0</v>
      </c>
      <c r="L80" s="2">
        <v>104500</v>
      </c>
      <c r="M80" s="1">
        <v>0</v>
      </c>
      <c r="N80" s="1">
        <v>0</v>
      </c>
    </row>
    <row r="81" spans="1:14" x14ac:dyDescent="0.3">
      <c r="A81" t="str">
        <v>E0080</v>
      </c>
      <c r="B81" t="str">
        <v>Policy &amp; Research</v>
      </c>
      <c r="C81" t="str">
        <v>Research Assistant</v>
      </c>
      <c r="D81" s="2">
        <v>49500</v>
      </c>
      <c r="E81" s="2">
        <v>52000</v>
      </c>
      <c r="F81" s="3">
        <v>0.95192307692307687</v>
      </c>
      <c r="G81" s="2">
        <v>1485</v>
      </c>
      <c r="H81" s="2">
        <v>50985</v>
      </c>
      <c r="I81">
        <v>0</v>
      </c>
      <c r="J81" s="2">
        <v>49500</v>
      </c>
      <c r="K81">
        <v>0</v>
      </c>
      <c r="L81" s="2">
        <v>49500</v>
      </c>
      <c r="M81" s="1">
        <v>0</v>
      </c>
      <c r="N81" s="1">
        <v>0</v>
      </c>
    </row>
    <row r="82" spans="1:14" x14ac:dyDescent="0.3">
      <c r="A82" t="str">
        <v>E0081</v>
      </c>
      <c r="B82" t="str">
        <v>Finance</v>
      </c>
      <c r="C82" t="str">
        <v>Finance Assistant</v>
      </c>
      <c r="D82" s="2">
        <v>57600</v>
      </c>
      <c r="E82" s="2">
        <v>52000</v>
      </c>
      <c r="F82" s="3">
        <v>1.1076923076923078</v>
      </c>
      <c r="G82" s="2">
        <v>1728</v>
      </c>
      <c r="H82" s="2">
        <v>59328</v>
      </c>
      <c r="I82">
        <v>0</v>
      </c>
      <c r="J82" s="2">
        <v>57600</v>
      </c>
      <c r="K82">
        <v>0</v>
      </c>
      <c r="L82" s="2">
        <v>57600</v>
      </c>
      <c r="M82" s="1">
        <v>0</v>
      </c>
      <c r="N82" s="1">
        <v>0</v>
      </c>
    </row>
    <row r="83" spans="1:14" x14ac:dyDescent="0.3">
      <c r="A83" t="str">
        <v>E0082</v>
      </c>
      <c r="B83" t="str">
        <v>Administration</v>
      </c>
      <c r="C83" t="str">
        <v>Administrative Assistant</v>
      </c>
      <c r="D83" s="2">
        <v>39700</v>
      </c>
      <c r="E83" s="2">
        <v>48000</v>
      </c>
      <c r="F83" s="3">
        <v>0.82708333333333328</v>
      </c>
      <c r="G83" s="2">
        <v>1191</v>
      </c>
      <c r="H83" s="2">
        <v>40891</v>
      </c>
      <c r="I83">
        <v>3500</v>
      </c>
      <c r="J83" s="2">
        <v>43200</v>
      </c>
      <c r="K83">
        <v>5900</v>
      </c>
      <c r="L83" s="2">
        <v>45600</v>
      </c>
      <c r="M83" s="1">
        <v>1</v>
      </c>
      <c r="N83" s="1">
        <v>1</v>
      </c>
    </row>
    <row r="84" spans="1:14" x14ac:dyDescent="0.3">
      <c r="A84" t="str">
        <v>E0083</v>
      </c>
      <c r="B84" t="str">
        <v>Information Technology</v>
      </c>
      <c r="C84" t="str">
        <v>Senior Systems Analyst</v>
      </c>
      <c r="D84" s="2">
        <v>88300</v>
      </c>
      <c r="E84" s="2">
        <v>98000</v>
      </c>
      <c r="F84" s="3">
        <v>0.90102040816326534</v>
      </c>
      <c r="G84" s="2">
        <v>2649</v>
      </c>
      <c r="H84" s="2">
        <v>90949</v>
      </c>
      <c r="I84">
        <v>0</v>
      </c>
      <c r="J84" s="2">
        <v>88300</v>
      </c>
      <c r="K84">
        <v>4800</v>
      </c>
      <c r="L84" s="2">
        <v>93100</v>
      </c>
      <c r="M84" s="1">
        <v>0</v>
      </c>
      <c r="N84" s="1">
        <v>1</v>
      </c>
    </row>
    <row r="85" spans="1:14" x14ac:dyDescent="0.3">
      <c r="A85" t="str">
        <v>E0084</v>
      </c>
      <c r="B85" t="str">
        <v>Policy &amp; Research</v>
      </c>
      <c r="C85" t="str">
        <v>Policy Analyst</v>
      </c>
      <c r="D85" s="2">
        <v>69900</v>
      </c>
      <c r="E85" s="2">
        <v>72000</v>
      </c>
      <c r="F85" s="3">
        <v>0.97083333333333333</v>
      </c>
      <c r="G85" s="2">
        <v>2097</v>
      </c>
      <c r="H85" s="2">
        <v>71997</v>
      </c>
      <c r="I85">
        <v>0</v>
      </c>
      <c r="J85" s="2">
        <v>69900</v>
      </c>
      <c r="K85">
        <v>0</v>
      </c>
      <c r="L85" s="2">
        <v>69900</v>
      </c>
      <c r="M85" s="1">
        <v>0</v>
      </c>
      <c r="N85" s="1">
        <v>0</v>
      </c>
    </row>
    <row r="86" spans="1:14" x14ac:dyDescent="0.3">
      <c r="A86" t="str">
        <v>E0085</v>
      </c>
      <c r="B86" t="str">
        <v>Finance</v>
      </c>
      <c r="C86" t="str">
        <v>Senior Financial Analyst</v>
      </c>
      <c r="D86" s="2">
        <v>74400</v>
      </c>
      <c r="E86" s="2">
        <v>88000</v>
      </c>
      <c r="F86" s="3">
        <v>0.84545454545454546</v>
      </c>
      <c r="G86" s="2">
        <v>2232</v>
      </c>
      <c r="H86" s="2">
        <v>76632</v>
      </c>
      <c r="I86">
        <v>4800</v>
      </c>
      <c r="J86" s="2">
        <v>79200</v>
      </c>
      <c r="K86">
        <v>9200</v>
      </c>
      <c r="L86" s="2">
        <v>83600</v>
      </c>
      <c r="M86" s="1">
        <v>1</v>
      </c>
      <c r="N86" s="1">
        <v>1</v>
      </c>
    </row>
    <row r="87" spans="1:14" x14ac:dyDescent="0.3">
      <c r="A87" t="str">
        <v>E0086</v>
      </c>
      <c r="B87" t="str">
        <v>Human Resources</v>
      </c>
      <c r="C87" t="str">
        <v>HR Assistant</v>
      </c>
      <c r="D87" s="2">
        <v>54100</v>
      </c>
      <c r="E87" s="2">
        <v>50000</v>
      </c>
      <c r="F87" s="3">
        <v>1.0820000000000001</v>
      </c>
      <c r="G87" s="2">
        <v>1623</v>
      </c>
      <c r="H87" s="2">
        <v>55723</v>
      </c>
      <c r="I87">
        <v>0</v>
      </c>
      <c r="J87" s="2">
        <v>54100</v>
      </c>
      <c r="K87">
        <v>0</v>
      </c>
      <c r="L87" s="2">
        <v>54100</v>
      </c>
      <c r="M87" s="1">
        <v>0</v>
      </c>
      <c r="N87" s="1">
        <v>0</v>
      </c>
    </row>
    <row r="88" spans="1:14" x14ac:dyDescent="0.3">
      <c r="A88" t="str">
        <v>E0087</v>
      </c>
      <c r="B88" t="str">
        <v>Policy &amp; Research</v>
      </c>
      <c r="C88" t="str">
        <v>Research Assistant</v>
      </c>
      <c r="D88" s="2">
        <v>53300</v>
      </c>
      <c r="E88" s="2">
        <v>52000</v>
      </c>
      <c r="F88" s="3">
        <v>1.0249999999999999</v>
      </c>
      <c r="G88" s="2">
        <v>1599</v>
      </c>
      <c r="H88" s="2">
        <v>54899</v>
      </c>
      <c r="I88">
        <v>0</v>
      </c>
      <c r="J88" s="2">
        <v>53300</v>
      </c>
      <c r="K88">
        <v>0</v>
      </c>
      <c r="L88" s="2">
        <v>53300</v>
      </c>
      <c r="M88" s="1">
        <v>0</v>
      </c>
      <c r="N88" s="1">
        <v>0</v>
      </c>
    </row>
    <row r="89" spans="1:14" x14ac:dyDescent="0.3">
      <c r="A89" t="str">
        <v>E0088</v>
      </c>
      <c r="B89" t="str">
        <v>Administration</v>
      </c>
      <c r="C89" t="str">
        <v>Office Manager</v>
      </c>
      <c r="D89" s="2">
        <v>72800</v>
      </c>
      <c r="E89" s="2">
        <v>72000</v>
      </c>
      <c r="F89" s="3">
        <v>1.0111111111111111</v>
      </c>
      <c r="G89" s="2">
        <v>2184</v>
      </c>
      <c r="H89" s="2">
        <v>74984</v>
      </c>
      <c r="I89">
        <v>0</v>
      </c>
      <c r="J89" s="2">
        <v>72800</v>
      </c>
      <c r="K89">
        <v>0</v>
      </c>
      <c r="L89" s="2">
        <v>72800</v>
      </c>
      <c r="M89" s="1">
        <v>0</v>
      </c>
      <c r="N89" s="1">
        <v>0</v>
      </c>
    </row>
    <row r="90" spans="1:14" x14ac:dyDescent="0.3">
      <c r="A90" t="str">
        <v>E0089</v>
      </c>
      <c r="B90" t="str">
        <v>Administration</v>
      </c>
      <c r="C90" t="str">
        <v>Office Manager</v>
      </c>
      <c r="D90" s="2">
        <v>76600</v>
      </c>
      <c r="E90" s="2">
        <v>72000</v>
      </c>
      <c r="F90" s="3">
        <v>1.0638888888888889</v>
      </c>
      <c r="G90" s="2">
        <v>2298</v>
      </c>
      <c r="H90" s="2">
        <v>78898</v>
      </c>
      <c r="I90">
        <v>0</v>
      </c>
      <c r="J90" s="2">
        <v>76600</v>
      </c>
      <c r="K90">
        <v>0</v>
      </c>
      <c r="L90" s="2">
        <v>76600</v>
      </c>
      <c r="M90" s="1">
        <v>0</v>
      </c>
      <c r="N90" s="1">
        <v>0</v>
      </c>
    </row>
    <row r="91" spans="1:14" x14ac:dyDescent="0.3">
      <c r="A91" t="str">
        <v>E0090</v>
      </c>
      <c r="B91" t="str">
        <v>Human Resources</v>
      </c>
      <c r="C91" t="str">
        <v>HR Assistant</v>
      </c>
      <c r="D91" s="2">
        <v>51800</v>
      </c>
      <c r="E91" s="2">
        <v>50000</v>
      </c>
      <c r="F91" s="3">
        <v>1.036</v>
      </c>
      <c r="G91" s="2">
        <v>1554</v>
      </c>
      <c r="H91" s="2">
        <v>53354</v>
      </c>
      <c r="I91">
        <v>0</v>
      </c>
      <c r="J91" s="2">
        <v>51800</v>
      </c>
      <c r="K91">
        <v>0</v>
      </c>
      <c r="L91" s="2">
        <v>51800</v>
      </c>
      <c r="M91" s="1">
        <v>0</v>
      </c>
      <c r="N91" s="1">
        <v>0</v>
      </c>
    </row>
    <row r="92" spans="1:14" x14ac:dyDescent="0.3">
      <c r="A92" t="str">
        <v>E0091</v>
      </c>
      <c r="B92" t="str">
        <v>Information Technology</v>
      </c>
      <c r="C92" t="str">
        <v>IT Support Analyst</v>
      </c>
      <c r="D92" s="2">
        <v>57000</v>
      </c>
      <c r="E92" s="2">
        <v>58000</v>
      </c>
      <c r="F92" s="3">
        <v>0.98275862068965514</v>
      </c>
      <c r="G92" s="2">
        <v>1710</v>
      </c>
      <c r="H92" s="2">
        <v>58710</v>
      </c>
      <c r="I92">
        <v>0</v>
      </c>
      <c r="J92" s="2">
        <v>57000</v>
      </c>
      <c r="K92">
        <v>0</v>
      </c>
      <c r="L92" s="2">
        <v>57000</v>
      </c>
      <c r="M92" s="1">
        <v>0</v>
      </c>
      <c r="N92" s="1">
        <v>0</v>
      </c>
    </row>
    <row r="93" spans="1:14" x14ac:dyDescent="0.3">
      <c r="A93" t="str">
        <v>E0092</v>
      </c>
      <c r="B93" t="str">
        <v>Information Technology</v>
      </c>
      <c r="C93" t="str">
        <v>Senior Systems Analyst</v>
      </c>
      <c r="D93" s="2">
        <v>91800</v>
      </c>
      <c r="E93" s="2">
        <v>98000</v>
      </c>
      <c r="F93" s="3">
        <v>0.93673469387755104</v>
      </c>
      <c r="G93" s="2">
        <v>2754</v>
      </c>
      <c r="H93" s="2">
        <v>94554</v>
      </c>
      <c r="I93">
        <v>0</v>
      </c>
      <c r="J93" s="2">
        <v>91800</v>
      </c>
      <c r="K93">
        <v>1300</v>
      </c>
      <c r="L93" s="2">
        <v>93100</v>
      </c>
      <c r="M93" s="1">
        <v>0</v>
      </c>
      <c r="N93" s="1">
        <v>1</v>
      </c>
    </row>
    <row r="94" spans="1:14" x14ac:dyDescent="0.3">
      <c r="A94" t="str">
        <v>E0093</v>
      </c>
      <c r="B94" t="str">
        <v>Policy &amp; Research</v>
      </c>
      <c r="C94" t="str">
        <v>Senior Policy Analyst</v>
      </c>
      <c r="D94" s="2">
        <v>95900</v>
      </c>
      <c r="E94" s="2">
        <v>90000</v>
      </c>
      <c r="F94" s="3">
        <v>1.0655555555555556</v>
      </c>
      <c r="G94" s="2">
        <v>2877</v>
      </c>
      <c r="H94" s="2">
        <v>98777</v>
      </c>
      <c r="I94">
        <v>0</v>
      </c>
      <c r="J94" s="2">
        <v>95900</v>
      </c>
      <c r="K94">
        <v>0</v>
      </c>
      <c r="L94" s="2">
        <v>95900</v>
      </c>
      <c r="M94" s="1">
        <v>0</v>
      </c>
      <c r="N94" s="1">
        <v>0</v>
      </c>
    </row>
    <row r="95" spans="1:14" x14ac:dyDescent="0.3">
      <c r="A95" t="str">
        <v>E0094</v>
      </c>
      <c r="B95" t="str">
        <v>Administration</v>
      </c>
      <c r="C95" t="str">
        <v>Office Manager</v>
      </c>
      <c r="D95" s="2">
        <v>74100</v>
      </c>
      <c r="E95" s="2">
        <v>72000</v>
      </c>
      <c r="F95" s="3">
        <v>1.0291666666666666</v>
      </c>
      <c r="G95" s="2">
        <v>2223</v>
      </c>
      <c r="H95" s="2">
        <v>76323</v>
      </c>
      <c r="I95">
        <v>0</v>
      </c>
      <c r="J95" s="2">
        <v>74100</v>
      </c>
      <c r="K95">
        <v>0</v>
      </c>
      <c r="L95" s="2">
        <v>74100</v>
      </c>
      <c r="M95" s="1">
        <v>0</v>
      </c>
      <c r="N95" s="1">
        <v>0</v>
      </c>
    </row>
    <row r="96" spans="1:14" x14ac:dyDescent="0.3">
      <c r="A96" t="str">
        <v>E0095</v>
      </c>
      <c r="B96" t="str">
        <v>Finance</v>
      </c>
      <c r="C96" t="str">
        <v>Senior Financial Analyst</v>
      </c>
      <c r="D96" s="2">
        <v>92200</v>
      </c>
      <c r="E96" s="2">
        <v>88000</v>
      </c>
      <c r="F96" s="3">
        <v>1.0477272727272726</v>
      </c>
      <c r="G96" s="2">
        <v>2766</v>
      </c>
      <c r="H96" s="2">
        <v>94966</v>
      </c>
      <c r="I96">
        <v>0</v>
      </c>
      <c r="J96" s="2">
        <v>92200</v>
      </c>
      <c r="K96">
        <v>0</v>
      </c>
      <c r="L96" s="2">
        <v>92200</v>
      </c>
      <c r="M96" s="1">
        <v>0</v>
      </c>
      <c r="N96" s="1">
        <v>0</v>
      </c>
    </row>
    <row r="97" spans="1:14" x14ac:dyDescent="0.3">
      <c r="A97" t="str">
        <v>E0096</v>
      </c>
      <c r="B97" t="str">
        <v>Human Resources</v>
      </c>
      <c r="C97" t="str">
        <v>HR Advisor</v>
      </c>
      <c r="D97" s="2">
        <v>76700</v>
      </c>
      <c r="E97" s="2">
        <v>82000</v>
      </c>
      <c r="F97" s="3">
        <v>0.93536585365853664</v>
      </c>
      <c r="G97" s="2">
        <v>2301</v>
      </c>
      <c r="H97" s="2">
        <v>79001</v>
      </c>
      <c r="I97">
        <v>0</v>
      </c>
      <c r="J97" s="2">
        <v>76700</v>
      </c>
      <c r="K97">
        <v>1200</v>
      </c>
      <c r="L97" s="2">
        <v>77900</v>
      </c>
      <c r="M97" s="1">
        <v>0</v>
      </c>
      <c r="N97" s="1">
        <v>1</v>
      </c>
    </row>
    <row r="98" spans="1:14" x14ac:dyDescent="0.3">
      <c r="A98" t="str">
        <v>E0097</v>
      </c>
      <c r="B98" t="str">
        <v>Administration</v>
      </c>
      <c r="C98" t="str">
        <v>Administrative Coordinator</v>
      </c>
      <c r="D98" s="2">
        <v>53600</v>
      </c>
      <c r="E98" s="2">
        <v>58000</v>
      </c>
      <c r="F98" s="3">
        <v>0.92413793103448272</v>
      </c>
      <c r="G98" s="2">
        <v>1608</v>
      </c>
      <c r="H98" s="2">
        <v>55208</v>
      </c>
      <c r="I98">
        <v>0</v>
      </c>
      <c r="J98" s="2">
        <v>53600</v>
      </c>
      <c r="K98">
        <v>1500</v>
      </c>
      <c r="L98" s="2">
        <v>55100</v>
      </c>
      <c r="M98" s="1">
        <v>0</v>
      </c>
      <c r="N98" s="1">
        <v>1</v>
      </c>
    </row>
    <row r="99" spans="1:14" x14ac:dyDescent="0.3">
      <c r="A99" t="str">
        <v>E0098</v>
      </c>
      <c r="B99" t="str">
        <v>Finance</v>
      </c>
      <c r="C99" t="str">
        <v>Finance Assistant</v>
      </c>
      <c r="D99" s="2">
        <v>55600</v>
      </c>
      <c r="E99" s="2">
        <v>52000</v>
      </c>
      <c r="F99" s="3">
        <v>1.0692307692307692</v>
      </c>
      <c r="G99" s="2">
        <v>1668</v>
      </c>
      <c r="H99" s="2">
        <v>57268</v>
      </c>
      <c r="I99">
        <v>0</v>
      </c>
      <c r="J99" s="2">
        <v>55600</v>
      </c>
      <c r="K99">
        <v>0</v>
      </c>
      <c r="L99" s="2">
        <v>55600</v>
      </c>
      <c r="M99" s="1">
        <v>0</v>
      </c>
      <c r="N99" s="1">
        <v>0</v>
      </c>
    </row>
    <row r="100" spans="1:14" x14ac:dyDescent="0.3">
      <c r="A100" t="str">
        <v>E0099</v>
      </c>
      <c r="B100" t="str">
        <v>Finance</v>
      </c>
      <c r="C100" t="str">
        <v>Finance Assistant</v>
      </c>
      <c r="D100" s="2">
        <v>54900</v>
      </c>
      <c r="E100" s="2">
        <v>52000</v>
      </c>
      <c r="F100" s="3">
        <v>1.0557692307692308</v>
      </c>
      <c r="G100" s="2">
        <v>1647</v>
      </c>
      <c r="H100" s="2">
        <v>56547</v>
      </c>
      <c r="I100">
        <v>0</v>
      </c>
      <c r="J100" s="2">
        <v>54900</v>
      </c>
      <c r="K100">
        <v>0</v>
      </c>
      <c r="L100" s="2">
        <v>54900</v>
      </c>
      <c r="M100" s="1">
        <v>0</v>
      </c>
      <c r="N100" s="1">
        <v>0</v>
      </c>
    </row>
    <row r="101" spans="1:14" x14ac:dyDescent="0.3">
      <c r="A101" t="str">
        <v>E0100</v>
      </c>
      <c r="B101" t="str">
        <v>Operations</v>
      </c>
      <c r="C101" t="str">
        <v>Operations Assistant</v>
      </c>
      <c r="D101" s="2">
        <v>48700</v>
      </c>
      <c r="E101" s="2">
        <v>50000</v>
      </c>
      <c r="F101" s="3">
        <v>0.97399999999999998</v>
      </c>
      <c r="G101" s="2">
        <v>1461</v>
      </c>
      <c r="H101" s="2">
        <v>50161</v>
      </c>
      <c r="I101">
        <v>0</v>
      </c>
      <c r="J101" s="2">
        <v>48700</v>
      </c>
      <c r="K101">
        <v>0</v>
      </c>
      <c r="L101" s="2">
        <v>48700</v>
      </c>
      <c r="M101" s="1">
        <v>0</v>
      </c>
      <c r="N101" s="1">
        <v>0</v>
      </c>
    </row>
    <row r="102" spans="1:14" x14ac:dyDescent="0.3">
      <c r="A102" t="str">
        <v>E0101</v>
      </c>
      <c r="B102" t="str">
        <v>Information Technology</v>
      </c>
      <c r="C102" t="str">
        <v>Systems Analyst</v>
      </c>
      <c r="D102" s="2">
        <v>58200</v>
      </c>
      <c r="E102" s="2">
        <v>78000</v>
      </c>
      <c r="F102" s="3">
        <v>0.74615384615384617</v>
      </c>
      <c r="G102" s="2">
        <v>1746</v>
      </c>
      <c r="H102" s="2">
        <v>59946</v>
      </c>
      <c r="I102">
        <v>12000</v>
      </c>
      <c r="J102" s="2">
        <v>70200</v>
      </c>
      <c r="K102">
        <v>15900</v>
      </c>
      <c r="L102" s="2">
        <v>74100</v>
      </c>
      <c r="M102" s="1">
        <v>1</v>
      </c>
      <c r="N102" s="1">
        <v>1</v>
      </c>
    </row>
    <row r="103" spans="1:14" x14ac:dyDescent="0.3">
      <c r="A103" t="str">
        <v>E0102</v>
      </c>
      <c r="B103" t="str">
        <v>Finance</v>
      </c>
      <c r="C103" t="str">
        <v>Senior Financial Analyst</v>
      </c>
      <c r="D103" s="2">
        <v>97400</v>
      </c>
      <c r="E103" s="2">
        <v>88000</v>
      </c>
      <c r="F103" s="3">
        <v>1.1068181818181819</v>
      </c>
      <c r="G103" s="2">
        <v>2922</v>
      </c>
      <c r="H103" s="2">
        <v>100322</v>
      </c>
      <c r="I103">
        <v>0</v>
      </c>
      <c r="J103" s="2">
        <v>97400</v>
      </c>
      <c r="K103">
        <v>0</v>
      </c>
      <c r="L103" s="2">
        <v>97400</v>
      </c>
      <c r="M103" s="1">
        <v>0</v>
      </c>
      <c r="N103" s="1">
        <v>0</v>
      </c>
    </row>
    <row r="104" spans="1:14" x14ac:dyDescent="0.3">
      <c r="A104" t="str">
        <v>E0103</v>
      </c>
      <c r="B104" t="str">
        <v>Policy &amp; Research</v>
      </c>
      <c r="C104" t="str">
        <v>Research Assistant</v>
      </c>
      <c r="D104" s="2">
        <v>51100</v>
      </c>
      <c r="E104" s="2">
        <v>52000</v>
      </c>
      <c r="F104" s="3">
        <v>0.98269230769230764</v>
      </c>
      <c r="G104" s="2">
        <v>1533</v>
      </c>
      <c r="H104" s="2">
        <v>52633</v>
      </c>
      <c r="I104">
        <v>0</v>
      </c>
      <c r="J104" s="2">
        <v>51100</v>
      </c>
      <c r="K104">
        <v>0</v>
      </c>
      <c r="L104" s="2">
        <v>51100</v>
      </c>
      <c r="M104" s="1">
        <v>0</v>
      </c>
      <c r="N104" s="1">
        <v>0</v>
      </c>
    </row>
    <row r="105" spans="1:14" x14ac:dyDescent="0.3">
      <c r="A105" t="str">
        <v>E0104</v>
      </c>
      <c r="B105" t="str">
        <v>Administration</v>
      </c>
      <c r="C105" t="str">
        <v>Office Manager</v>
      </c>
      <c r="D105" s="2">
        <v>62400</v>
      </c>
      <c r="E105" s="2">
        <v>72000</v>
      </c>
      <c r="F105" s="3">
        <v>0.8666666666666667</v>
      </c>
      <c r="G105" s="2">
        <v>1872</v>
      </c>
      <c r="H105" s="2">
        <v>64272</v>
      </c>
      <c r="I105">
        <v>2400</v>
      </c>
      <c r="J105" s="2">
        <v>64800</v>
      </c>
      <c r="K105">
        <v>6000</v>
      </c>
      <c r="L105" s="2">
        <v>68400</v>
      </c>
      <c r="M105" s="1">
        <v>1</v>
      </c>
      <c r="N105" s="1">
        <v>1</v>
      </c>
    </row>
    <row r="106" spans="1:14" x14ac:dyDescent="0.3">
      <c r="A106" t="str">
        <v>E0105</v>
      </c>
      <c r="B106" t="str">
        <v>Administration</v>
      </c>
      <c r="C106" t="str">
        <v>Office Manager</v>
      </c>
      <c r="D106" s="2">
        <v>49900</v>
      </c>
      <c r="E106" s="2">
        <v>72000</v>
      </c>
      <c r="F106" s="3">
        <v>0.69305555555555554</v>
      </c>
      <c r="G106" s="2">
        <v>1497</v>
      </c>
      <c r="H106" s="2">
        <v>51397</v>
      </c>
      <c r="I106">
        <v>14900</v>
      </c>
      <c r="J106" s="2">
        <v>64800</v>
      </c>
      <c r="K106">
        <v>18500</v>
      </c>
      <c r="L106" s="2">
        <v>68400</v>
      </c>
      <c r="M106" s="1">
        <v>1</v>
      </c>
      <c r="N106" s="1">
        <v>1</v>
      </c>
    </row>
    <row r="107" spans="1:14" x14ac:dyDescent="0.3">
      <c r="A107" t="str">
        <v>E0106</v>
      </c>
      <c r="B107" t="str">
        <v>Finance</v>
      </c>
      <c r="C107" t="str">
        <v>Finance Assistant</v>
      </c>
      <c r="D107" s="2">
        <v>55300</v>
      </c>
      <c r="E107" s="2">
        <v>52000</v>
      </c>
      <c r="F107" s="3">
        <v>1.0634615384615385</v>
      </c>
      <c r="G107" s="2">
        <v>1659</v>
      </c>
      <c r="H107" s="2">
        <v>56959</v>
      </c>
      <c r="I107">
        <v>0</v>
      </c>
      <c r="J107" s="2">
        <v>55300</v>
      </c>
      <c r="K107">
        <v>0</v>
      </c>
      <c r="L107" s="2">
        <v>55300</v>
      </c>
      <c r="M107" s="1">
        <v>0</v>
      </c>
      <c r="N107" s="1">
        <v>0</v>
      </c>
    </row>
    <row r="108" spans="1:14" x14ac:dyDescent="0.3">
      <c r="A108" t="str">
        <v>E0107</v>
      </c>
      <c r="B108" t="str">
        <v>Policy &amp; Research</v>
      </c>
      <c r="C108" t="str">
        <v>Policy Analyst</v>
      </c>
      <c r="D108" s="2">
        <v>69100</v>
      </c>
      <c r="E108" s="2">
        <v>72000</v>
      </c>
      <c r="F108" s="3">
        <v>0.95972222222222225</v>
      </c>
      <c r="G108" s="2">
        <v>2073</v>
      </c>
      <c r="H108" s="2">
        <v>71173</v>
      </c>
      <c r="I108">
        <v>0</v>
      </c>
      <c r="J108" s="2">
        <v>69100</v>
      </c>
      <c r="K108">
        <v>0</v>
      </c>
      <c r="L108" s="2">
        <v>69100</v>
      </c>
      <c r="M108" s="1">
        <v>0</v>
      </c>
      <c r="N108" s="1">
        <v>0</v>
      </c>
    </row>
    <row r="109" spans="1:14" x14ac:dyDescent="0.3">
      <c r="A109" t="str">
        <v>E0108</v>
      </c>
      <c r="B109" t="str">
        <v>Information Technology</v>
      </c>
      <c r="C109" t="str">
        <v>IT Support Analyst</v>
      </c>
      <c r="D109" s="2">
        <v>50600</v>
      </c>
      <c r="E109" s="2">
        <v>58000</v>
      </c>
      <c r="F109" s="3">
        <v>0.87241379310344824</v>
      </c>
      <c r="G109" s="2">
        <v>1518</v>
      </c>
      <c r="H109" s="2">
        <v>52118</v>
      </c>
      <c r="I109">
        <v>1600</v>
      </c>
      <c r="J109" s="2">
        <v>52200</v>
      </c>
      <c r="K109">
        <v>4500</v>
      </c>
      <c r="L109" s="2">
        <v>55100</v>
      </c>
      <c r="M109" s="1">
        <v>1</v>
      </c>
      <c r="N109" s="1">
        <v>1</v>
      </c>
    </row>
    <row r="110" spans="1:14" x14ac:dyDescent="0.3">
      <c r="A110" t="str">
        <v>E0109</v>
      </c>
      <c r="B110" t="str">
        <v>Administration</v>
      </c>
      <c r="C110" t="str">
        <v>Administrative Coordinator</v>
      </c>
      <c r="D110" s="2">
        <v>62100</v>
      </c>
      <c r="E110" s="2">
        <v>58000</v>
      </c>
      <c r="F110" s="3">
        <v>1.0706896551724139</v>
      </c>
      <c r="G110" s="2">
        <v>1863</v>
      </c>
      <c r="H110" s="2">
        <v>63963</v>
      </c>
      <c r="I110">
        <v>0</v>
      </c>
      <c r="J110" s="2">
        <v>62100</v>
      </c>
      <c r="K110">
        <v>0</v>
      </c>
      <c r="L110" s="2">
        <v>62100</v>
      </c>
      <c r="M110" s="1">
        <v>0</v>
      </c>
      <c r="N110" s="1">
        <v>0</v>
      </c>
    </row>
    <row r="111" spans="1:14" x14ac:dyDescent="0.3">
      <c r="A111" t="str">
        <v>E0110</v>
      </c>
      <c r="B111" t="str">
        <v>Administration</v>
      </c>
      <c r="C111" t="str">
        <v>Office Manager</v>
      </c>
      <c r="D111" s="2">
        <v>81500</v>
      </c>
      <c r="E111" s="2">
        <v>72000</v>
      </c>
      <c r="F111" s="3">
        <v>1.1319444444444444</v>
      </c>
      <c r="G111" s="2">
        <v>2445</v>
      </c>
      <c r="H111" s="2">
        <v>83945</v>
      </c>
      <c r="I111">
        <v>0</v>
      </c>
      <c r="J111" s="2">
        <v>81500</v>
      </c>
      <c r="K111">
        <v>0</v>
      </c>
      <c r="L111" s="2">
        <v>81500</v>
      </c>
      <c r="M111" s="1">
        <v>0</v>
      </c>
      <c r="N111" s="1">
        <v>0</v>
      </c>
    </row>
    <row r="112" spans="1:14" x14ac:dyDescent="0.3">
      <c r="A112" t="str">
        <v>E0111</v>
      </c>
      <c r="B112" t="str">
        <v>Operations</v>
      </c>
      <c r="C112" t="str">
        <v>Operations Assistant</v>
      </c>
      <c r="D112" s="2">
        <v>41500</v>
      </c>
      <c r="E112" s="2">
        <v>50000</v>
      </c>
      <c r="F112" s="3">
        <v>0.83</v>
      </c>
      <c r="G112" s="2">
        <v>1245</v>
      </c>
      <c r="H112" s="2">
        <v>42745</v>
      </c>
      <c r="I112">
        <v>3500</v>
      </c>
      <c r="J112" s="2">
        <v>45000</v>
      </c>
      <c r="K112">
        <v>6000</v>
      </c>
      <c r="L112" s="2">
        <v>47500</v>
      </c>
      <c r="M112" s="1">
        <v>1</v>
      </c>
      <c r="N112" s="1">
        <v>1</v>
      </c>
    </row>
    <row r="113" spans="1:14" x14ac:dyDescent="0.3">
      <c r="A113" t="str">
        <v>E0112</v>
      </c>
      <c r="B113" t="str">
        <v>Information Technology</v>
      </c>
      <c r="C113" t="str">
        <v>Systems Analyst</v>
      </c>
      <c r="D113" s="2">
        <v>86500</v>
      </c>
      <c r="E113" s="2">
        <v>78000</v>
      </c>
      <c r="F113" s="3">
        <v>1.108974358974359</v>
      </c>
      <c r="G113" s="2">
        <v>2595</v>
      </c>
      <c r="H113" s="2">
        <v>89095</v>
      </c>
      <c r="I113">
        <v>0</v>
      </c>
      <c r="J113" s="2">
        <v>86500</v>
      </c>
      <c r="K113">
        <v>0</v>
      </c>
      <c r="L113" s="2">
        <v>86500</v>
      </c>
      <c r="M113" s="1">
        <v>0</v>
      </c>
      <c r="N113" s="1">
        <v>0</v>
      </c>
    </row>
    <row r="114" spans="1:14" x14ac:dyDescent="0.3">
      <c r="A114" t="str">
        <v>E0113</v>
      </c>
      <c r="B114" t="str">
        <v>Human Resources</v>
      </c>
      <c r="C114" t="str">
        <v>HR Analyst</v>
      </c>
      <c r="D114" s="2">
        <v>76300</v>
      </c>
      <c r="E114" s="2">
        <v>68000</v>
      </c>
      <c r="F114" s="3">
        <v>1.1220588235294118</v>
      </c>
      <c r="G114" s="2">
        <v>2289</v>
      </c>
      <c r="H114" s="2">
        <v>78589</v>
      </c>
      <c r="I114">
        <v>0</v>
      </c>
      <c r="J114" s="2">
        <v>76300</v>
      </c>
      <c r="K114">
        <v>0</v>
      </c>
      <c r="L114" s="2">
        <v>76300</v>
      </c>
      <c r="M114" s="1">
        <v>0</v>
      </c>
      <c r="N114" s="1">
        <v>0</v>
      </c>
    </row>
    <row r="115" spans="1:14" x14ac:dyDescent="0.3">
      <c r="A115" t="str">
        <v>E0114</v>
      </c>
      <c r="B115" t="str">
        <v>Policy &amp; Research</v>
      </c>
      <c r="C115" t="str">
        <v>Research Assistant</v>
      </c>
      <c r="D115" s="2">
        <v>41600</v>
      </c>
      <c r="E115" s="2">
        <v>52000</v>
      </c>
      <c r="F115" s="3">
        <v>0.8</v>
      </c>
      <c r="G115" s="2">
        <v>1248</v>
      </c>
      <c r="H115" s="2">
        <v>42848</v>
      </c>
      <c r="I115">
        <v>5200</v>
      </c>
      <c r="J115" s="2">
        <v>46800</v>
      </c>
      <c r="K115">
        <v>7800</v>
      </c>
      <c r="L115" s="2">
        <v>49400</v>
      </c>
      <c r="M115" s="1">
        <v>1</v>
      </c>
      <c r="N115" s="1">
        <v>1</v>
      </c>
    </row>
    <row r="116" spans="1:14" x14ac:dyDescent="0.3">
      <c r="A116" t="str">
        <v>E0115</v>
      </c>
      <c r="B116" t="str">
        <v>Operations</v>
      </c>
      <c r="C116" t="str">
        <v>Operations Analyst</v>
      </c>
      <c r="D116" s="2">
        <v>55600</v>
      </c>
      <c r="E116" s="2">
        <v>68000</v>
      </c>
      <c r="F116" s="3">
        <v>0.81764705882352939</v>
      </c>
      <c r="G116" s="2">
        <v>1668</v>
      </c>
      <c r="H116" s="2">
        <v>57268</v>
      </c>
      <c r="I116">
        <v>5600</v>
      </c>
      <c r="J116" s="2">
        <v>61200</v>
      </c>
      <c r="K116">
        <v>9000</v>
      </c>
      <c r="L116" s="2">
        <v>64600</v>
      </c>
      <c r="M116" s="1">
        <v>1</v>
      </c>
      <c r="N116" s="1">
        <v>1</v>
      </c>
    </row>
    <row r="117" spans="1:14" x14ac:dyDescent="0.3">
      <c r="A117" t="str">
        <v>E0116</v>
      </c>
      <c r="B117" t="str">
        <v>Operations</v>
      </c>
      <c r="C117" t="str">
        <v>Operations Analyst</v>
      </c>
      <c r="D117" s="2">
        <v>77100</v>
      </c>
      <c r="E117" s="2">
        <v>68000</v>
      </c>
      <c r="F117" s="3">
        <v>1.1338235294117647</v>
      </c>
      <c r="G117" s="2">
        <v>2313</v>
      </c>
      <c r="H117" s="2">
        <v>79413</v>
      </c>
      <c r="I117">
        <v>0</v>
      </c>
      <c r="J117" s="2">
        <v>77100</v>
      </c>
      <c r="K117">
        <v>0</v>
      </c>
      <c r="L117" s="2">
        <v>77100</v>
      </c>
      <c r="M117" s="1">
        <v>0</v>
      </c>
      <c r="N117" s="1">
        <v>0</v>
      </c>
    </row>
    <row r="118" spans="1:14" x14ac:dyDescent="0.3">
      <c r="A118" t="str">
        <v>E0117</v>
      </c>
      <c r="B118" t="str">
        <v>Administration</v>
      </c>
      <c r="C118" t="str">
        <v>Administrative Coordinator</v>
      </c>
      <c r="D118" s="2">
        <v>51500</v>
      </c>
      <c r="E118" s="2">
        <v>58000</v>
      </c>
      <c r="F118" s="3">
        <v>0.88793103448275867</v>
      </c>
      <c r="G118" s="2">
        <v>1545</v>
      </c>
      <c r="H118" s="2">
        <v>53045</v>
      </c>
      <c r="I118">
        <v>700</v>
      </c>
      <c r="J118" s="2">
        <v>52200</v>
      </c>
      <c r="K118">
        <v>3600</v>
      </c>
      <c r="L118" s="2">
        <v>55100</v>
      </c>
      <c r="M118" s="1">
        <v>1</v>
      </c>
      <c r="N118" s="1">
        <v>1</v>
      </c>
    </row>
    <row r="119" spans="1:14" x14ac:dyDescent="0.3">
      <c r="A119" t="str">
        <v>E0118</v>
      </c>
      <c r="B119" t="str">
        <v>Human Resources</v>
      </c>
      <c r="C119" t="str">
        <v>HR Advisor</v>
      </c>
      <c r="D119" s="2">
        <v>89700</v>
      </c>
      <c r="E119" s="2">
        <v>82000</v>
      </c>
      <c r="F119" s="3">
        <v>1.0939024390243903</v>
      </c>
      <c r="G119" s="2">
        <v>2691</v>
      </c>
      <c r="H119" s="2">
        <v>92391</v>
      </c>
      <c r="I119">
        <v>0</v>
      </c>
      <c r="J119" s="2">
        <v>89700</v>
      </c>
      <c r="K119">
        <v>0</v>
      </c>
      <c r="L119" s="2">
        <v>89700</v>
      </c>
      <c r="M119" s="1">
        <v>0</v>
      </c>
      <c r="N119" s="1">
        <v>0</v>
      </c>
    </row>
    <row r="120" spans="1:14" x14ac:dyDescent="0.3">
      <c r="A120" t="str">
        <v>E0119</v>
      </c>
      <c r="B120" t="str">
        <v>Finance</v>
      </c>
      <c r="C120" t="str">
        <v>Finance Assistant</v>
      </c>
      <c r="D120" s="2">
        <v>51200</v>
      </c>
      <c r="E120" s="2">
        <v>52000</v>
      </c>
      <c r="F120" s="3">
        <v>0.98461538461538467</v>
      </c>
      <c r="G120" s="2">
        <v>1536</v>
      </c>
      <c r="H120" s="2">
        <v>52736</v>
      </c>
      <c r="I120">
        <v>0</v>
      </c>
      <c r="J120" s="2">
        <v>51200</v>
      </c>
      <c r="K120">
        <v>0</v>
      </c>
      <c r="L120" s="2">
        <v>51200</v>
      </c>
      <c r="M120" s="1">
        <v>0</v>
      </c>
      <c r="N120" s="1">
        <v>0</v>
      </c>
    </row>
    <row r="121" spans="1:14" x14ac:dyDescent="0.3">
      <c r="A121" t="str">
        <v>E0120</v>
      </c>
      <c r="B121" t="str">
        <v>Policy &amp; Research</v>
      </c>
      <c r="C121" t="str">
        <v>Policy Analyst</v>
      </c>
      <c r="D121" s="2">
        <v>82200</v>
      </c>
      <c r="E121" s="2">
        <v>72000</v>
      </c>
      <c r="F121" s="3">
        <v>1.1416666666666666</v>
      </c>
      <c r="G121" s="2">
        <v>2466</v>
      </c>
      <c r="H121" s="2">
        <v>84666</v>
      </c>
      <c r="I121">
        <v>0</v>
      </c>
      <c r="J121" s="2">
        <v>82200</v>
      </c>
      <c r="K121">
        <v>0</v>
      </c>
      <c r="L121" s="2">
        <v>82200</v>
      </c>
      <c r="M121" s="1">
        <v>0</v>
      </c>
      <c r="N121" s="1">
        <v>0</v>
      </c>
    </row>
    <row r="122" spans="1:14" x14ac:dyDescent="0.3">
      <c r="A122" t="str">
        <v>E0121</v>
      </c>
      <c r="B122" t="str">
        <v>Policy &amp; Research</v>
      </c>
      <c r="C122" t="str">
        <v>Research Assistant</v>
      </c>
      <c r="D122" s="2">
        <v>42400</v>
      </c>
      <c r="E122" s="2">
        <v>52000</v>
      </c>
      <c r="F122" s="3">
        <v>0.81538461538461537</v>
      </c>
      <c r="G122" s="2">
        <v>1272</v>
      </c>
      <c r="H122" s="2">
        <v>43672</v>
      </c>
      <c r="I122">
        <v>4400</v>
      </c>
      <c r="J122" s="2">
        <v>46800</v>
      </c>
      <c r="K122">
        <v>7000</v>
      </c>
      <c r="L122" s="2">
        <v>49400</v>
      </c>
      <c r="M122" s="1">
        <v>1</v>
      </c>
      <c r="N122" s="1">
        <v>1</v>
      </c>
    </row>
    <row r="123" spans="1:14" x14ac:dyDescent="0.3">
      <c r="A123" t="str">
        <v>E0122</v>
      </c>
      <c r="B123" t="str">
        <v>Administration</v>
      </c>
      <c r="C123" t="str">
        <v>Administrative Coordinator</v>
      </c>
      <c r="D123" s="2">
        <v>51400</v>
      </c>
      <c r="E123" s="2">
        <v>58000</v>
      </c>
      <c r="F123" s="3">
        <v>0.88620689655172413</v>
      </c>
      <c r="G123" s="2">
        <v>1542</v>
      </c>
      <c r="H123" s="2">
        <v>52942</v>
      </c>
      <c r="I123">
        <v>800</v>
      </c>
      <c r="J123" s="2">
        <v>52200</v>
      </c>
      <c r="K123">
        <v>3700</v>
      </c>
      <c r="L123" s="2">
        <v>55100</v>
      </c>
      <c r="M123" s="1">
        <v>1</v>
      </c>
      <c r="N123" s="1">
        <v>1</v>
      </c>
    </row>
    <row r="124" spans="1:14" x14ac:dyDescent="0.3">
      <c r="A124" t="str">
        <v>E0123</v>
      </c>
      <c r="B124" t="str">
        <v>Policy &amp; Research</v>
      </c>
      <c r="C124" t="str">
        <v>Policy Analyst</v>
      </c>
      <c r="D124" s="2">
        <v>57400</v>
      </c>
      <c r="E124" s="2">
        <v>72000</v>
      </c>
      <c r="F124" s="3">
        <v>0.79722222222222228</v>
      </c>
      <c r="G124" s="2">
        <v>1722</v>
      </c>
      <c r="H124" s="2">
        <v>59122</v>
      </c>
      <c r="I124">
        <v>7400</v>
      </c>
      <c r="J124" s="2">
        <v>64800</v>
      </c>
      <c r="K124">
        <v>11000</v>
      </c>
      <c r="L124" s="2">
        <v>68400</v>
      </c>
      <c r="M124" s="1">
        <v>1</v>
      </c>
      <c r="N124" s="1">
        <v>1</v>
      </c>
    </row>
    <row r="125" spans="1:14" x14ac:dyDescent="0.3">
      <c r="A125" t="str">
        <v>E0124</v>
      </c>
      <c r="B125" t="str">
        <v>Finance</v>
      </c>
      <c r="C125" t="str">
        <v>Financial Analyst</v>
      </c>
      <c r="D125" s="2">
        <v>75400</v>
      </c>
      <c r="E125" s="2">
        <v>70000</v>
      </c>
      <c r="F125" s="3">
        <v>1.0771428571428572</v>
      </c>
      <c r="G125" s="2">
        <v>2262</v>
      </c>
      <c r="H125" s="2">
        <v>77662</v>
      </c>
      <c r="I125">
        <v>0</v>
      </c>
      <c r="J125" s="2">
        <v>75400</v>
      </c>
      <c r="K125">
        <v>0</v>
      </c>
      <c r="L125" s="2">
        <v>75400</v>
      </c>
      <c r="M125" s="1">
        <v>0</v>
      </c>
      <c r="N125" s="1">
        <v>0</v>
      </c>
    </row>
    <row r="126" spans="1:14" x14ac:dyDescent="0.3">
      <c r="A126" t="str">
        <v>E0125</v>
      </c>
      <c r="B126" t="str">
        <v>Human Resources</v>
      </c>
      <c r="C126" t="str">
        <v>HR Advisor</v>
      </c>
      <c r="D126" s="2">
        <v>94800</v>
      </c>
      <c r="E126" s="2">
        <v>82000</v>
      </c>
      <c r="F126" s="3">
        <v>1.1560975609756097</v>
      </c>
      <c r="G126" s="2">
        <v>2844</v>
      </c>
      <c r="H126" s="2">
        <v>97644</v>
      </c>
      <c r="I126">
        <v>0</v>
      </c>
      <c r="J126" s="2">
        <v>94800</v>
      </c>
      <c r="K126">
        <v>0</v>
      </c>
      <c r="L126" s="2">
        <v>94800</v>
      </c>
      <c r="M126" s="1">
        <v>0</v>
      </c>
      <c r="N126" s="1">
        <v>0</v>
      </c>
    </row>
    <row r="127" spans="1:14" x14ac:dyDescent="0.3">
      <c r="A127" t="str">
        <v>E0126</v>
      </c>
      <c r="B127" t="str">
        <v>Operations</v>
      </c>
      <c r="C127" t="str">
        <v>Operations Manager</v>
      </c>
      <c r="D127" s="2">
        <v>95700</v>
      </c>
      <c r="E127" s="2">
        <v>85000</v>
      </c>
      <c r="F127" s="3">
        <v>1.1258823529411766</v>
      </c>
      <c r="G127" s="2">
        <v>2871</v>
      </c>
      <c r="H127" s="2">
        <v>98571</v>
      </c>
      <c r="I127">
        <v>0</v>
      </c>
      <c r="J127" s="2">
        <v>95700</v>
      </c>
      <c r="K127">
        <v>0</v>
      </c>
      <c r="L127" s="2">
        <v>95700</v>
      </c>
      <c r="M127" s="1">
        <v>0</v>
      </c>
      <c r="N127" s="1">
        <v>0</v>
      </c>
    </row>
    <row r="128" spans="1:14" x14ac:dyDescent="0.3">
      <c r="A128" t="str">
        <v>E0127</v>
      </c>
      <c r="B128" t="str">
        <v>Policy &amp; Research</v>
      </c>
      <c r="C128" t="str">
        <v>Research Assistant</v>
      </c>
      <c r="D128" s="2">
        <v>47100</v>
      </c>
      <c r="E128" s="2">
        <v>52000</v>
      </c>
      <c r="F128" s="3">
        <v>0.90576923076923077</v>
      </c>
      <c r="G128" s="2">
        <v>1413</v>
      </c>
      <c r="H128" s="2">
        <v>48513</v>
      </c>
      <c r="I128">
        <v>0</v>
      </c>
      <c r="J128" s="2">
        <v>47100</v>
      </c>
      <c r="K128">
        <v>2300</v>
      </c>
      <c r="L128" s="2">
        <v>49400</v>
      </c>
      <c r="M128" s="1">
        <v>0</v>
      </c>
      <c r="N128" s="1">
        <v>1</v>
      </c>
    </row>
    <row r="129" spans="1:14" x14ac:dyDescent="0.3">
      <c r="A129" t="str">
        <v>E0128</v>
      </c>
      <c r="B129" t="str">
        <v>Information Technology</v>
      </c>
      <c r="C129" t="str">
        <v>Systems Analyst</v>
      </c>
      <c r="D129" s="2">
        <v>71400</v>
      </c>
      <c r="E129" s="2">
        <v>78000</v>
      </c>
      <c r="F129" s="3">
        <v>0.91538461538461535</v>
      </c>
      <c r="G129" s="2">
        <v>2142</v>
      </c>
      <c r="H129" s="2">
        <v>73542</v>
      </c>
      <c r="I129">
        <v>0</v>
      </c>
      <c r="J129" s="2">
        <v>71400</v>
      </c>
      <c r="K129">
        <v>2700</v>
      </c>
      <c r="L129" s="2">
        <v>74100</v>
      </c>
      <c r="M129" s="1">
        <v>0</v>
      </c>
      <c r="N129" s="1">
        <v>1</v>
      </c>
    </row>
    <row r="130" spans="1:14" x14ac:dyDescent="0.3">
      <c r="A130" t="str">
        <v>E0129</v>
      </c>
      <c r="B130" t="str">
        <v>Finance</v>
      </c>
      <c r="C130" t="str">
        <v>Financial Analyst</v>
      </c>
      <c r="D130" s="2">
        <v>64600</v>
      </c>
      <c r="E130" s="2">
        <v>70000</v>
      </c>
      <c r="F130" s="3">
        <v>0.92285714285714282</v>
      </c>
      <c r="G130" s="2">
        <v>1938</v>
      </c>
      <c r="H130" s="2">
        <v>66538</v>
      </c>
      <c r="I130">
        <v>0</v>
      </c>
      <c r="J130" s="2">
        <v>64600</v>
      </c>
      <c r="K130">
        <v>1900</v>
      </c>
      <c r="L130" s="2">
        <v>66500</v>
      </c>
      <c r="M130" s="1">
        <v>0</v>
      </c>
      <c r="N130" s="1">
        <v>1</v>
      </c>
    </row>
    <row r="131" spans="1:14" x14ac:dyDescent="0.3">
      <c r="A131" t="str">
        <v>E0130</v>
      </c>
      <c r="B131" t="str">
        <v>Operations</v>
      </c>
      <c r="C131" t="str">
        <v>Operations Assistant</v>
      </c>
      <c r="D131" s="2">
        <v>51100</v>
      </c>
      <c r="E131" s="2">
        <v>50000</v>
      </c>
      <c r="F131" s="3">
        <v>1.022</v>
      </c>
      <c r="G131" s="2">
        <v>1533</v>
      </c>
      <c r="H131" s="2">
        <v>52633</v>
      </c>
      <c r="I131">
        <v>0</v>
      </c>
      <c r="J131" s="2">
        <v>51100</v>
      </c>
      <c r="K131">
        <v>0</v>
      </c>
      <c r="L131" s="2">
        <v>51100</v>
      </c>
      <c r="M131" s="1">
        <v>0</v>
      </c>
      <c r="N131" s="1">
        <v>0</v>
      </c>
    </row>
    <row r="132" spans="1:14" x14ac:dyDescent="0.3">
      <c r="A132" t="str">
        <v>E0131</v>
      </c>
      <c r="B132" t="str">
        <v>Finance</v>
      </c>
      <c r="C132" t="str">
        <v>Senior Financial Analyst</v>
      </c>
      <c r="D132" s="2">
        <v>68600</v>
      </c>
      <c r="E132" s="2">
        <v>88000</v>
      </c>
      <c r="F132" s="3">
        <v>0.77954545454545454</v>
      </c>
      <c r="G132" s="2">
        <v>2058</v>
      </c>
      <c r="H132" s="2">
        <v>70658</v>
      </c>
      <c r="I132">
        <v>10600</v>
      </c>
      <c r="J132" s="2">
        <v>79200</v>
      </c>
      <c r="K132">
        <v>15000</v>
      </c>
      <c r="L132" s="2">
        <v>83600</v>
      </c>
      <c r="M132" s="1">
        <v>1</v>
      </c>
      <c r="N132" s="1">
        <v>1</v>
      </c>
    </row>
    <row r="133" spans="1:14" x14ac:dyDescent="0.3">
      <c r="A133" t="str">
        <v>E0132</v>
      </c>
      <c r="B133" t="str">
        <v>Policy &amp; Research</v>
      </c>
      <c r="C133" t="str">
        <v>Policy Analyst</v>
      </c>
      <c r="D133" s="2">
        <v>68000</v>
      </c>
      <c r="E133" s="2">
        <v>72000</v>
      </c>
      <c r="F133" s="3">
        <v>0.94444444444444442</v>
      </c>
      <c r="G133" s="2">
        <v>2040</v>
      </c>
      <c r="H133" s="2">
        <v>70040</v>
      </c>
      <c r="I133">
        <v>0</v>
      </c>
      <c r="J133" s="2">
        <v>68000</v>
      </c>
      <c r="K133">
        <v>400</v>
      </c>
      <c r="L133" s="2">
        <v>68400</v>
      </c>
      <c r="M133" s="1">
        <v>0</v>
      </c>
      <c r="N133" s="1">
        <v>1</v>
      </c>
    </row>
    <row r="134" spans="1:14" x14ac:dyDescent="0.3">
      <c r="A134" t="str">
        <v>E0133</v>
      </c>
      <c r="B134" t="str">
        <v>Policy &amp; Research</v>
      </c>
      <c r="C134" t="str">
        <v>Policy Analyst</v>
      </c>
      <c r="D134" s="2">
        <v>71900</v>
      </c>
      <c r="E134" s="2">
        <v>72000</v>
      </c>
      <c r="F134" s="3">
        <v>0.99861111111111112</v>
      </c>
      <c r="G134" s="2">
        <v>2157</v>
      </c>
      <c r="H134" s="2">
        <v>74057</v>
      </c>
      <c r="I134">
        <v>0</v>
      </c>
      <c r="J134" s="2">
        <v>71900</v>
      </c>
      <c r="K134">
        <v>0</v>
      </c>
      <c r="L134" s="2">
        <v>71900</v>
      </c>
      <c r="M134" s="1">
        <v>0</v>
      </c>
      <c r="N134" s="1">
        <v>0</v>
      </c>
    </row>
    <row r="135" spans="1:14" x14ac:dyDescent="0.3">
      <c r="A135" t="str">
        <v>E0134</v>
      </c>
      <c r="B135" t="str">
        <v>Human Resources</v>
      </c>
      <c r="C135" t="str">
        <v>HR Analyst</v>
      </c>
      <c r="D135" s="2">
        <v>50600</v>
      </c>
      <c r="E135" s="2">
        <v>68000</v>
      </c>
      <c r="F135" s="3">
        <v>0.74411764705882355</v>
      </c>
      <c r="G135" s="2">
        <v>1518</v>
      </c>
      <c r="H135" s="2">
        <v>52118</v>
      </c>
      <c r="I135">
        <v>10600</v>
      </c>
      <c r="J135" s="2">
        <v>61200</v>
      </c>
      <c r="K135">
        <v>14000</v>
      </c>
      <c r="L135" s="2">
        <v>64600</v>
      </c>
      <c r="M135" s="1">
        <v>1</v>
      </c>
      <c r="N135" s="1">
        <v>1</v>
      </c>
    </row>
    <row r="136" spans="1:14" x14ac:dyDescent="0.3">
      <c r="A136" t="str">
        <v>E0135</v>
      </c>
      <c r="B136" t="str">
        <v>Information Technology</v>
      </c>
      <c r="C136" t="str">
        <v>IT Support Analyst</v>
      </c>
      <c r="D136" s="2">
        <v>57800</v>
      </c>
      <c r="E136" s="2">
        <v>58000</v>
      </c>
      <c r="F136" s="3">
        <v>0.99655172413793103</v>
      </c>
      <c r="G136" s="2">
        <v>1734</v>
      </c>
      <c r="H136" s="2">
        <v>59534</v>
      </c>
      <c r="I136">
        <v>0</v>
      </c>
      <c r="J136" s="2">
        <v>57800</v>
      </c>
      <c r="K136">
        <v>0</v>
      </c>
      <c r="L136" s="2">
        <v>57800</v>
      </c>
      <c r="M136" s="1">
        <v>0</v>
      </c>
      <c r="N136" s="1">
        <v>0</v>
      </c>
    </row>
    <row r="137" spans="1:14" x14ac:dyDescent="0.3">
      <c r="A137" t="str">
        <v>E0136</v>
      </c>
      <c r="B137" t="str">
        <v>Policy &amp; Research</v>
      </c>
      <c r="C137" t="str">
        <v>Policy Analyst</v>
      </c>
      <c r="D137" s="2">
        <v>68500</v>
      </c>
      <c r="E137" s="2">
        <v>72000</v>
      </c>
      <c r="F137" s="3">
        <v>0.95138888888888884</v>
      </c>
      <c r="G137" s="2">
        <v>2055</v>
      </c>
      <c r="H137" s="2">
        <v>70555</v>
      </c>
      <c r="I137">
        <v>0</v>
      </c>
      <c r="J137" s="2">
        <v>68500</v>
      </c>
      <c r="K137">
        <v>0</v>
      </c>
      <c r="L137" s="2">
        <v>68500</v>
      </c>
      <c r="M137" s="1">
        <v>0</v>
      </c>
      <c r="N137" s="1">
        <v>0</v>
      </c>
    </row>
    <row r="138" spans="1:14" x14ac:dyDescent="0.3">
      <c r="A138" t="str">
        <v>E0137</v>
      </c>
      <c r="B138" t="str">
        <v>Policy &amp; Research</v>
      </c>
      <c r="C138" t="str">
        <v>Policy Analyst</v>
      </c>
      <c r="D138" s="2">
        <v>58100</v>
      </c>
      <c r="E138" s="2">
        <v>72000</v>
      </c>
      <c r="F138" s="3">
        <v>0.80694444444444446</v>
      </c>
      <c r="G138" s="2">
        <v>1743</v>
      </c>
      <c r="H138" s="2">
        <v>59843</v>
      </c>
      <c r="I138">
        <v>6700</v>
      </c>
      <c r="J138" s="2">
        <v>64800</v>
      </c>
      <c r="K138">
        <v>10300</v>
      </c>
      <c r="L138" s="2">
        <v>68400</v>
      </c>
      <c r="M138" s="1">
        <v>1</v>
      </c>
      <c r="N138" s="1">
        <v>1</v>
      </c>
    </row>
    <row r="139" spans="1:14" x14ac:dyDescent="0.3">
      <c r="A139" t="str">
        <v>E0138</v>
      </c>
      <c r="B139" t="str">
        <v>Finance</v>
      </c>
      <c r="C139" t="str">
        <v>Finance Assistant</v>
      </c>
      <c r="D139" s="2">
        <v>48400</v>
      </c>
      <c r="E139" s="2">
        <v>52000</v>
      </c>
      <c r="F139" s="3">
        <v>0.93076923076923079</v>
      </c>
      <c r="G139" s="2">
        <v>1452</v>
      </c>
      <c r="H139" s="2">
        <v>49852</v>
      </c>
      <c r="I139">
        <v>0</v>
      </c>
      <c r="J139" s="2">
        <v>48400</v>
      </c>
      <c r="K139">
        <v>1000</v>
      </c>
      <c r="L139" s="2">
        <v>49400</v>
      </c>
      <c r="M139" s="1">
        <v>0</v>
      </c>
      <c r="N139" s="1">
        <v>1</v>
      </c>
    </row>
    <row r="140" spans="1:14" x14ac:dyDescent="0.3">
      <c r="A140" t="str">
        <v>E0139</v>
      </c>
      <c r="B140" t="str">
        <v>Human Resources</v>
      </c>
      <c r="C140" t="str">
        <v>HR Assistant</v>
      </c>
      <c r="D140" s="2">
        <v>51800</v>
      </c>
      <c r="E140" s="2">
        <v>50000</v>
      </c>
      <c r="F140" s="3">
        <v>1.036</v>
      </c>
      <c r="G140" s="2">
        <v>1554</v>
      </c>
      <c r="H140" s="2">
        <v>53354</v>
      </c>
      <c r="I140">
        <v>0</v>
      </c>
      <c r="J140" s="2">
        <v>51800</v>
      </c>
      <c r="K140">
        <v>0</v>
      </c>
      <c r="L140" s="2">
        <v>51800</v>
      </c>
      <c r="M140" s="1">
        <v>0</v>
      </c>
      <c r="N140" s="1">
        <v>0</v>
      </c>
    </row>
    <row r="141" spans="1:14" x14ac:dyDescent="0.3">
      <c r="A141" t="str">
        <v>E0140</v>
      </c>
      <c r="B141" t="str">
        <v>Administration</v>
      </c>
      <c r="C141" t="str">
        <v>Office Manager</v>
      </c>
      <c r="D141" s="2">
        <v>63900</v>
      </c>
      <c r="E141" s="2">
        <v>72000</v>
      </c>
      <c r="F141" s="3">
        <v>0.88749999999999996</v>
      </c>
      <c r="G141" s="2">
        <v>1917</v>
      </c>
      <c r="H141" s="2">
        <v>65817</v>
      </c>
      <c r="I141">
        <v>900</v>
      </c>
      <c r="J141" s="2">
        <v>64800</v>
      </c>
      <c r="K141">
        <v>4500</v>
      </c>
      <c r="L141" s="2">
        <v>68400</v>
      </c>
      <c r="M141" s="1">
        <v>1</v>
      </c>
      <c r="N141" s="1">
        <v>1</v>
      </c>
    </row>
    <row r="142" spans="1:14" x14ac:dyDescent="0.3">
      <c r="A142" t="str">
        <v>E0141</v>
      </c>
      <c r="B142" t="str">
        <v>Operations</v>
      </c>
      <c r="C142" t="str">
        <v>Operations Analyst</v>
      </c>
      <c r="D142" s="2">
        <v>70400</v>
      </c>
      <c r="E142" s="2">
        <v>68000</v>
      </c>
      <c r="F142" s="3">
        <v>1.0352941176470589</v>
      </c>
      <c r="G142" s="2">
        <v>2112</v>
      </c>
      <c r="H142" s="2">
        <v>72512</v>
      </c>
      <c r="I142">
        <v>0</v>
      </c>
      <c r="J142" s="2">
        <v>70400</v>
      </c>
      <c r="K142">
        <v>0</v>
      </c>
      <c r="L142" s="2">
        <v>70400</v>
      </c>
      <c r="M142" s="1">
        <v>0</v>
      </c>
      <c r="N142" s="1">
        <v>0</v>
      </c>
    </row>
    <row r="143" spans="1:14" x14ac:dyDescent="0.3">
      <c r="A143" t="str">
        <v>E0142</v>
      </c>
      <c r="B143" t="str">
        <v>Operations</v>
      </c>
      <c r="C143" t="str">
        <v>Operations Manager</v>
      </c>
      <c r="D143" s="2">
        <v>72400</v>
      </c>
      <c r="E143" s="2">
        <v>85000</v>
      </c>
      <c r="F143" s="3">
        <v>0.85176470588235298</v>
      </c>
      <c r="G143" s="2">
        <v>2172</v>
      </c>
      <c r="H143" s="2">
        <v>74572</v>
      </c>
      <c r="I143">
        <v>4100</v>
      </c>
      <c r="J143" s="2">
        <v>76500</v>
      </c>
      <c r="K143">
        <v>8350</v>
      </c>
      <c r="L143" s="2">
        <v>80750</v>
      </c>
      <c r="M143" s="1">
        <v>1</v>
      </c>
      <c r="N143" s="1">
        <v>1</v>
      </c>
    </row>
    <row r="144" spans="1:14" x14ac:dyDescent="0.3">
      <c r="A144" t="str">
        <v>E0143</v>
      </c>
      <c r="B144" t="str">
        <v>Finance</v>
      </c>
      <c r="C144" t="str">
        <v>Financial Analyst</v>
      </c>
      <c r="D144" s="2">
        <v>60800</v>
      </c>
      <c r="E144" s="2">
        <v>70000</v>
      </c>
      <c r="F144" s="3">
        <v>0.86857142857142855</v>
      </c>
      <c r="G144" s="2">
        <v>1824</v>
      </c>
      <c r="H144" s="2">
        <v>62624</v>
      </c>
      <c r="I144">
        <v>2200</v>
      </c>
      <c r="J144" s="2">
        <v>63000</v>
      </c>
      <c r="K144">
        <v>5700</v>
      </c>
      <c r="L144" s="2">
        <v>66500</v>
      </c>
      <c r="M144" s="1">
        <v>1</v>
      </c>
      <c r="N144" s="1">
        <v>1</v>
      </c>
    </row>
    <row r="145" spans="1:14" x14ac:dyDescent="0.3">
      <c r="A145" t="str">
        <v>E0144</v>
      </c>
      <c r="B145" t="str">
        <v>Policy &amp; Research</v>
      </c>
      <c r="C145" t="str">
        <v>Policy Analyst</v>
      </c>
      <c r="D145" s="2">
        <v>61900</v>
      </c>
      <c r="E145" s="2">
        <v>72000</v>
      </c>
      <c r="F145" s="3">
        <v>0.85972222222222228</v>
      </c>
      <c r="G145" s="2">
        <v>1857</v>
      </c>
      <c r="H145" s="2">
        <v>63757</v>
      </c>
      <c r="I145">
        <v>2900</v>
      </c>
      <c r="J145" s="2">
        <v>64800</v>
      </c>
      <c r="K145">
        <v>6500</v>
      </c>
      <c r="L145" s="2">
        <v>68400</v>
      </c>
      <c r="M145" s="1">
        <v>1</v>
      </c>
      <c r="N145" s="1">
        <v>1</v>
      </c>
    </row>
    <row r="146" spans="1:14" x14ac:dyDescent="0.3">
      <c r="A146" t="str">
        <v>E0145</v>
      </c>
      <c r="B146" t="str">
        <v>Operations</v>
      </c>
      <c r="C146" t="str">
        <v>Operations Analyst</v>
      </c>
      <c r="D146" s="2">
        <v>62200</v>
      </c>
      <c r="E146" s="2">
        <v>68000</v>
      </c>
      <c r="F146" s="3">
        <v>0.91470588235294115</v>
      </c>
      <c r="G146" s="2">
        <v>1866</v>
      </c>
      <c r="H146" s="2">
        <v>64066</v>
      </c>
      <c r="I146">
        <v>0</v>
      </c>
      <c r="J146" s="2">
        <v>62200</v>
      </c>
      <c r="K146">
        <v>2400</v>
      </c>
      <c r="L146" s="2">
        <v>64600</v>
      </c>
      <c r="M146" s="1">
        <v>0</v>
      </c>
      <c r="N146" s="1">
        <v>1</v>
      </c>
    </row>
    <row r="147" spans="1:14" x14ac:dyDescent="0.3">
      <c r="A147" t="str">
        <v>E0146</v>
      </c>
      <c r="B147" t="str">
        <v>Finance</v>
      </c>
      <c r="C147" t="str">
        <v>Senior Financial Analyst</v>
      </c>
      <c r="D147" s="2">
        <v>65000</v>
      </c>
      <c r="E147" s="2">
        <v>88000</v>
      </c>
      <c r="F147" s="3">
        <v>0.73863636363636365</v>
      </c>
      <c r="G147" s="2">
        <v>1950</v>
      </c>
      <c r="H147" s="2">
        <v>66950</v>
      </c>
      <c r="I147">
        <v>14200</v>
      </c>
      <c r="J147" s="2">
        <v>79200</v>
      </c>
      <c r="K147">
        <v>18600</v>
      </c>
      <c r="L147" s="2">
        <v>83600</v>
      </c>
      <c r="M147" s="1">
        <v>1</v>
      </c>
      <c r="N147" s="1">
        <v>1</v>
      </c>
    </row>
    <row r="148" spans="1:14" x14ac:dyDescent="0.3">
      <c r="A148" t="str">
        <v>E0147</v>
      </c>
      <c r="B148" t="str">
        <v>Information Technology</v>
      </c>
      <c r="C148" t="str">
        <v>Senior Systems Analyst</v>
      </c>
      <c r="D148" s="2">
        <v>107600</v>
      </c>
      <c r="E148" s="2">
        <v>98000</v>
      </c>
      <c r="F148" s="3">
        <v>1.0979591836734695</v>
      </c>
      <c r="G148" s="2">
        <v>3228</v>
      </c>
      <c r="H148" s="2">
        <v>110828</v>
      </c>
      <c r="I148">
        <v>0</v>
      </c>
      <c r="J148" s="2">
        <v>107600</v>
      </c>
      <c r="K148">
        <v>0</v>
      </c>
      <c r="L148" s="2">
        <v>107600</v>
      </c>
      <c r="M148" s="1">
        <v>0</v>
      </c>
      <c r="N148" s="1">
        <v>0</v>
      </c>
    </row>
    <row r="149" spans="1:14" x14ac:dyDescent="0.3">
      <c r="A149" t="str">
        <v>E0148</v>
      </c>
      <c r="B149" t="str">
        <v>Finance</v>
      </c>
      <c r="C149" t="str">
        <v>Finance Assistant</v>
      </c>
      <c r="D149" s="2">
        <v>59700</v>
      </c>
      <c r="E149" s="2">
        <v>52000</v>
      </c>
      <c r="F149" s="3">
        <v>1.148076923076923</v>
      </c>
      <c r="G149" s="2">
        <v>1791</v>
      </c>
      <c r="H149" s="2">
        <v>61491</v>
      </c>
      <c r="I149">
        <v>0</v>
      </c>
      <c r="J149" s="2">
        <v>59700</v>
      </c>
      <c r="K149">
        <v>0</v>
      </c>
      <c r="L149" s="2">
        <v>59700</v>
      </c>
      <c r="M149" s="1">
        <v>0</v>
      </c>
      <c r="N149" s="1">
        <v>0</v>
      </c>
    </row>
    <row r="150" spans="1:14" x14ac:dyDescent="0.3">
      <c r="A150" t="str">
        <v>E0149</v>
      </c>
      <c r="B150" t="str">
        <v>Finance</v>
      </c>
      <c r="C150" t="str">
        <v>Financial Analyst</v>
      </c>
      <c r="D150" s="2">
        <v>62200</v>
      </c>
      <c r="E150" s="2">
        <v>70000</v>
      </c>
      <c r="F150" s="3">
        <v>0.88857142857142857</v>
      </c>
      <c r="G150" s="2">
        <v>1866</v>
      </c>
      <c r="H150" s="2">
        <v>64066</v>
      </c>
      <c r="I150">
        <v>800</v>
      </c>
      <c r="J150" s="2">
        <v>63000</v>
      </c>
      <c r="K150">
        <v>4300</v>
      </c>
      <c r="L150" s="2">
        <v>66500</v>
      </c>
      <c r="M150" s="1">
        <v>1</v>
      </c>
      <c r="N150" s="1">
        <v>1</v>
      </c>
    </row>
    <row r="151" spans="1:14" x14ac:dyDescent="0.3">
      <c r="A151" t="str">
        <v>E0150</v>
      </c>
      <c r="B151" t="str">
        <v>Information Technology</v>
      </c>
      <c r="C151" t="str">
        <v>Systems Analyst</v>
      </c>
      <c r="D151" s="2">
        <v>64300</v>
      </c>
      <c r="E151" s="2">
        <v>78000</v>
      </c>
      <c r="F151" s="3">
        <v>0.82435897435897432</v>
      </c>
      <c r="G151" s="2">
        <v>1929</v>
      </c>
      <c r="H151" s="2">
        <v>66229</v>
      </c>
      <c r="I151">
        <v>5900</v>
      </c>
      <c r="J151" s="2">
        <v>70200</v>
      </c>
      <c r="K151">
        <v>9800</v>
      </c>
      <c r="L151" s="2">
        <v>74100</v>
      </c>
      <c r="M151" s="1">
        <v>1</v>
      </c>
      <c r="N151" s="1">
        <v>1</v>
      </c>
    </row>
    <row r="152" spans="1:14" x14ac:dyDescent="0.3">
      <c r="A152" t="str">
        <v>E0151</v>
      </c>
      <c r="B152" t="str">
        <v>Operations</v>
      </c>
      <c r="C152" t="str">
        <v>Operations Manager</v>
      </c>
      <c r="D152" s="2">
        <v>59500</v>
      </c>
      <c r="E152" s="2">
        <v>85000</v>
      </c>
      <c r="F152" s="3">
        <v>0.7</v>
      </c>
      <c r="G152" s="2">
        <v>1785</v>
      </c>
      <c r="H152" s="2">
        <v>61285</v>
      </c>
      <c r="I152">
        <v>17000</v>
      </c>
      <c r="J152" s="2">
        <v>76500</v>
      </c>
      <c r="K152">
        <v>21250</v>
      </c>
      <c r="L152" s="2">
        <v>80750</v>
      </c>
      <c r="M152" s="1">
        <v>1</v>
      </c>
      <c r="N152" s="1">
        <v>1</v>
      </c>
    </row>
    <row r="153" spans="1:14" x14ac:dyDescent="0.3">
      <c r="A153" t="str">
        <v>E0152</v>
      </c>
      <c r="B153" t="str">
        <v>Information Technology</v>
      </c>
      <c r="C153" t="str">
        <v>Senior Systems Analyst</v>
      </c>
      <c r="D153" s="2">
        <v>99800</v>
      </c>
      <c r="E153" s="2">
        <v>98000</v>
      </c>
      <c r="F153" s="3">
        <v>1.0183673469387755</v>
      </c>
      <c r="G153" s="2">
        <v>2994</v>
      </c>
      <c r="H153" s="2">
        <v>102794</v>
      </c>
      <c r="I153">
        <v>0</v>
      </c>
      <c r="J153" s="2">
        <v>99800</v>
      </c>
      <c r="K153">
        <v>0</v>
      </c>
      <c r="L153" s="2">
        <v>99800</v>
      </c>
      <c r="M153" s="1">
        <v>0</v>
      </c>
      <c r="N153" s="1">
        <v>0</v>
      </c>
    </row>
    <row r="154" spans="1:14" x14ac:dyDescent="0.3">
      <c r="A154" t="str">
        <v>E0153</v>
      </c>
      <c r="B154" t="str">
        <v>Information Technology</v>
      </c>
      <c r="C154" t="str">
        <v>Senior Systems Analyst</v>
      </c>
      <c r="D154" s="2">
        <v>93000</v>
      </c>
      <c r="E154" s="2">
        <v>98000</v>
      </c>
      <c r="F154" s="3">
        <v>0.94897959183673475</v>
      </c>
      <c r="G154" s="2">
        <v>2790</v>
      </c>
      <c r="H154" s="2">
        <v>95790</v>
      </c>
      <c r="I154">
        <v>0</v>
      </c>
      <c r="J154" s="2">
        <v>93000</v>
      </c>
      <c r="K154">
        <v>100</v>
      </c>
      <c r="L154" s="2">
        <v>93100</v>
      </c>
      <c r="M154" s="1">
        <v>0</v>
      </c>
      <c r="N154" s="1">
        <v>1</v>
      </c>
    </row>
    <row r="155" spans="1:14" x14ac:dyDescent="0.3">
      <c r="A155" t="str">
        <v>E0154</v>
      </c>
      <c r="B155" t="str">
        <v>Operations</v>
      </c>
      <c r="C155" t="str">
        <v>Operations Manager</v>
      </c>
      <c r="D155" s="2">
        <v>84600</v>
      </c>
      <c r="E155" s="2">
        <v>85000</v>
      </c>
      <c r="F155" s="3">
        <v>0.99529411764705877</v>
      </c>
      <c r="G155" s="2">
        <v>2538</v>
      </c>
      <c r="H155" s="2">
        <v>87138</v>
      </c>
      <c r="I155">
        <v>0</v>
      </c>
      <c r="J155" s="2">
        <v>84600</v>
      </c>
      <c r="K155">
        <v>0</v>
      </c>
      <c r="L155" s="2">
        <v>84600</v>
      </c>
      <c r="M155" s="1">
        <v>0</v>
      </c>
      <c r="N155" s="1">
        <v>0</v>
      </c>
    </row>
    <row r="156" spans="1:14" x14ac:dyDescent="0.3">
      <c r="A156" t="str">
        <v>E0155</v>
      </c>
      <c r="B156" t="str">
        <v>Finance</v>
      </c>
      <c r="C156" t="str">
        <v>Senior Financial Analyst</v>
      </c>
      <c r="D156" s="2">
        <v>78600</v>
      </c>
      <c r="E156" s="2">
        <v>88000</v>
      </c>
      <c r="F156" s="3">
        <v>0.89318181818181819</v>
      </c>
      <c r="G156" s="2">
        <v>2358</v>
      </c>
      <c r="H156" s="2">
        <v>80958</v>
      </c>
      <c r="I156">
        <v>600</v>
      </c>
      <c r="J156" s="2">
        <v>79200</v>
      </c>
      <c r="K156">
        <v>5000</v>
      </c>
      <c r="L156" s="2">
        <v>83600</v>
      </c>
      <c r="M156" s="1">
        <v>1</v>
      </c>
      <c r="N156" s="1">
        <v>1</v>
      </c>
    </row>
    <row r="157" spans="1:14" x14ac:dyDescent="0.3">
      <c r="A157" t="str">
        <v>E0156</v>
      </c>
      <c r="B157" t="str">
        <v>Human Resources</v>
      </c>
      <c r="C157" t="str">
        <v>HR Assistant</v>
      </c>
      <c r="D157" s="2">
        <v>42500</v>
      </c>
      <c r="E157" s="2">
        <v>50000</v>
      </c>
      <c r="F157" s="3">
        <v>0.85</v>
      </c>
      <c r="G157" s="2">
        <v>1275</v>
      </c>
      <c r="H157" s="2">
        <v>43775</v>
      </c>
      <c r="I157">
        <v>2500</v>
      </c>
      <c r="J157" s="2">
        <v>45000</v>
      </c>
      <c r="K157">
        <v>5000</v>
      </c>
      <c r="L157" s="2">
        <v>47500</v>
      </c>
      <c r="M157" s="1">
        <v>1</v>
      </c>
      <c r="N157" s="1">
        <v>1</v>
      </c>
    </row>
    <row r="158" spans="1:14" x14ac:dyDescent="0.3">
      <c r="A158" t="str">
        <v>E0157</v>
      </c>
      <c r="B158" t="str">
        <v>Administration</v>
      </c>
      <c r="C158" t="str">
        <v>Administrative Coordinator</v>
      </c>
      <c r="D158" s="2">
        <v>48500</v>
      </c>
      <c r="E158" s="2">
        <v>58000</v>
      </c>
      <c r="F158" s="3">
        <v>0.83620689655172409</v>
      </c>
      <c r="G158" s="2">
        <v>1455</v>
      </c>
      <c r="H158" s="2">
        <v>49955</v>
      </c>
      <c r="I158">
        <v>3700</v>
      </c>
      <c r="J158" s="2">
        <v>52200</v>
      </c>
      <c r="K158">
        <v>6600</v>
      </c>
      <c r="L158" s="2">
        <v>55100</v>
      </c>
      <c r="M158" s="1">
        <v>1</v>
      </c>
      <c r="N158" s="1">
        <v>1</v>
      </c>
    </row>
    <row r="159" spans="1:14" x14ac:dyDescent="0.3">
      <c r="A159" t="str">
        <v>E0158</v>
      </c>
      <c r="B159" t="str">
        <v>Information Technology</v>
      </c>
      <c r="C159" t="str">
        <v>IT Support Analyst</v>
      </c>
      <c r="D159" s="2">
        <v>56700</v>
      </c>
      <c r="E159" s="2">
        <v>58000</v>
      </c>
      <c r="F159" s="3">
        <v>0.97758620689655173</v>
      </c>
      <c r="G159" s="2">
        <v>1701</v>
      </c>
      <c r="H159" s="2">
        <v>58401</v>
      </c>
      <c r="I159">
        <v>0</v>
      </c>
      <c r="J159" s="2">
        <v>56700</v>
      </c>
      <c r="K159">
        <v>0</v>
      </c>
      <c r="L159" s="2">
        <v>56700</v>
      </c>
      <c r="M159" s="1">
        <v>0</v>
      </c>
      <c r="N159" s="1">
        <v>0</v>
      </c>
    </row>
    <row r="160" spans="1:14" x14ac:dyDescent="0.3">
      <c r="A160" t="str">
        <v>E0159</v>
      </c>
      <c r="B160" t="str">
        <v>Operations</v>
      </c>
      <c r="C160" t="str">
        <v>Operations Analyst</v>
      </c>
      <c r="D160" s="2">
        <v>55100</v>
      </c>
      <c r="E160" s="2">
        <v>68000</v>
      </c>
      <c r="F160" s="3">
        <v>0.81029411764705883</v>
      </c>
      <c r="G160" s="2">
        <v>1653</v>
      </c>
      <c r="H160" s="2">
        <v>56753</v>
      </c>
      <c r="I160">
        <v>6100</v>
      </c>
      <c r="J160" s="2">
        <v>61200</v>
      </c>
      <c r="K160">
        <v>9500</v>
      </c>
      <c r="L160" s="2">
        <v>64600</v>
      </c>
      <c r="M160" s="1">
        <v>1</v>
      </c>
      <c r="N160" s="1">
        <v>1</v>
      </c>
    </row>
    <row r="161" spans="1:14" x14ac:dyDescent="0.3">
      <c r="A161" t="str">
        <v>E0160</v>
      </c>
      <c r="B161" t="str">
        <v>Finance</v>
      </c>
      <c r="C161" t="str">
        <v>Finance Assistant</v>
      </c>
      <c r="D161" s="2">
        <v>50600</v>
      </c>
      <c r="E161" s="2">
        <v>52000</v>
      </c>
      <c r="F161" s="3">
        <v>0.97307692307692306</v>
      </c>
      <c r="G161" s="2">
        <v>1518</v>
      </c>
      <c r="H161" s="2">
        <v>52118</v>
      </c>
      <c r="I161">
        <v>0</v>
      </c>
      <c r="J161" s="2">
        <v>50600</v>
      </c>
      <c r="K161">
        <v>0</v>
      </c>
      <c r="L161" s="2">
        <v>50600</v>
      </c>
      <c r="M161" s="1">
        <v>0</v>
      </c>
      <c r="N161" s="1">
        <v>0</v>
      </c>
    </row>
    <row r="162" spans="1:14" x14ac:dyDescent="0.3">
      <c r="A162" t="str">
        <v>E0161</v>
      </c>
      <c r="B162" t="str">
        <v>Administration</v>
      </c>
      <c r="C162" t="str">
        <v>Office Manager</v>
      </c>
      <c r="D162" s="2">
        <v>55700</v>
      </c>
      <c r="E162" s="2">
        <v>72000</v>
      </c>
      <c r="F162" s="3">
        <v>0.77361111111111114</v>
      </c>
      <c r="G162" s="2">
        <v>1671</v>
      </c>
      <c r="H162" s="2">
        <v>57371</v>
      </c>
      <c r="I162">
        <v>9100</v>
      </c>
      <c r="J162" s="2">
        <v>64800</v>
      </c>
      <c r="K162">
        <v>12700</v>
      </c>
      <c r="L162" s="2">
        <v>68400</v>
      </c>
      <c r="M162" s="1">
        <v>1</v>
      </c>
      <c r="N162" s="1">
        <v>1</v>
      </c>
    </row>
    <row r="163" spans="1:14" x14ac:dyDescent="0.3">
      <c r="A163" t="str">
        <v>E0162</v>
      </c>
      <c r="B163" t="str">
        <v>Administration</v>
      </c>
      <c r="C163" t="str">
        <v>Administrative Assistant</v>
      </c>
      <c r="D163" s="2">
        <v>40600</v>
      </c>
      <c r="E163" s="2">
        <v>48000</v>
      </c>
      <c r="F163" s="3">
        <v>0.84583333333333333</v>
      </c>
      <c r="G163" s="2">
        <v>1218</v>
      </c>
      <c r="H163" s="2">
        <v>41818</v>
      </c>
      <c r="I163">
        <v>2600</v>
      </c>
      <c r="J163" s="2">
        <v>43200</v>
      </c>
      <c r="K163">
        <v>5000</v>
      </c>
      <c r="L163" s="2">
        <v>45600</v>
      </c>
      <c r="M163" s="1">
        <v>1</v>
      </c>
      <c r="N163" s="1">
        <v>1</v>
      </c>
    </row>
    <row r="164" spans="1:14" x14ac:dyDescent="0.3">
      <c r="A164" t="str">
        <v>E0163</v>
      </c>
      <c r="B164" t="str">
        <v>Policy &amp; Research</v>
      </c>
      <c r="C164" t="str">
        <v>Senior Policy Analyst</v>
      </c>
      <c r="D164" s="2">
        <v>91500</v>
      </c>
      <c r="E164" s="2">
        <v>90000</v>
      </c>
      <c r="F164" s="3">
        <v>1.0166666666666666</v>
      </c>
      <c r="G164" s="2">
        <v>2745</v>
      </c>
      <c r="H164" s="2">
        <v>94245</v>
      </c>
      <c r="I164">
        <v>0</v>
      </c>
      <c r="J164" s="2">
        <v>91500</v>
      </c>
      <c r="K164">
        <v>0</v>
      </c>
      <c r="L164" s="2">
        <v>91500</v>
      </c>
      <c r="M164" s="1">
        <v>0</v>
      </c>
      <c r="N164" s="1">
        <v>0</v>
      </c>
    </row>
    <row r="165" spans="1:14" x14ac:dyDescent="0.3">
      <c r="A165" t="str">
        <v>E0164</v>
      </c>
      <c r="B165" t="str">
        <v>Operations</v>
      </c>
      <c r="C165" t="str">
        <v>Operations Assistant</v>
      </c>
      <c r="D165" s="2">
        <v>46600</v>
      </c>
      <c r="E165" s="2">
        <v>50000</v>
      </c>
      <c r="F165" s="3">
        <v>0.93200000000000005</v>
      </c>
      <c r="G165" s="2">
        <v>1398</v>
      </c>
      <c r="H165" s="2">
        <v>47998</v>
      </c>
      <c r="I165">
        <v>0</v>
      </c>
      <c r="J165" s="2">
        <v>46600</v>
      </c>
      <c r="K165">
        <v>900</v>
      </c>
      <c r="L165" s="2">
        <v>47500</v>
      </c>
      <c r="M165" s="1">
        <v>0</v>
      </c>
      <c r="N165" s="1">
        <v>1</v>
      </c>
    </row>
    <row r="166" spans="1:14" x14ac:dyDescent="0.3">
      <c r="A166" t="str">
        <v>E0165</v>
      </c>
      <c r="B166" t="str">
        <v>Policy &amp; Research</v>
      </c>
      <c r="C166" t="str">
        <v>Policy Analyst</v>
      </c>
      <c r="D166" s="2">
        <v>72300</v>
      </c>
      <c r="E166" s="2">
        <v>72000</v>
      </c>
      <c r="F166" s="3">
        <v>1.0041666666666667</v>
      </c>
      <c r="G166" s="2">
        <v>2169</v>
      </c>
      <c r="H166" s="2">
        <v>74469</v>
      </c>
      <c r="I166">
        <v>0</v>
      </c>
      <c r="J166" s="2">
        <v>72300</v>
      </c>
      <c r="K166">
        <v>0</v>
      </c>
      <c r="L166" s="2">
        <v>72300</v>
      </c>
      <c r="M166" s="1">
        <v>0</v>
      </c>
      <c r="N166" s="1">
        <v>0</v>
      </c>
    </row>
    <row r="167" spans="1:14" x14ac:dyDescent="0.3">
      <c r="A167" t="str">
        <v>E0166</v>
      </c>
      <c r="B167" t="str">
        <v>Finance</v>
      </c>
      <c r="C167" t="str">
        <v>Financial Analyst</v>
      </c>
      <c r="D167" s="2">
        <v>73700</v>
      </c>
      <c r="E167" s="2">
        <v>70000</v>
      </c>
      <c r="F167" s="3">
        <v>1.0528571428571429</v>
      </c>
      <c r="G167" s="2">
        <v>2211</v>
      </c>
      <c r="H167" s="2">
        <v>75911</v>
      </c>
      <c r="I167">
        <v>0</v>
      </c>
      <c r="J167" s="2">
        <v>73700</v>
      </c>
      <c r="K167">
        <v>0</v>
      </c>
      <c r="L167" s="2">
        <v>73700</v>
      </c>
      <c r="M167" s="1">
        <v>0</v>
      </c>
      <c r="N167" s="1">
        <v>0</v>
      </c>
    </row>
    <row r="168" spans="1:14" x14ac:dyDescent="0.3">
      <c r="A168" t="str">
        <v>E0167</v>
      </c>
      <c r="B168" t="str">
        <v>Finance</v>
      </c>
      <c r="C168" t="str">
        <v>Finance Assistant</v>
      </c>
      <c r="D168" s="2">
        <v>38800</v>
      </c>
      <c r="E168" s="2">
        <v>52000</v>
      </c>
      <c r="F168" s="3">
        <v>0.74615384615384617</v>
      </c>
      <c r="G168" s="2">
        <v>1164</v>
      </c>
      <c r="H168" s="2">
        <v>39964</v>
      </c>
      <c r="I168">
        <v>8000</v>
      </c>
      <c r="J168" s="2">
        <v>46800</v>
      </c>
      <c r="K168">
        <v>10600</v>
      </c>
      <c r="L168" s="2">
        <v>49400</v>
      </c>
      <c r="M168" s="1">
        <v>1</v>
      </c>
      <c r="N168" s="1">
        <v>1</v>
      </c>
    </row>
    <row r="169" spans="1:14" x14ac:dyDescent="0.3">
      <c r="A169" t="str">
        <v>E0168</v>
      </c>
      <c r="B169" t="str">
        <v>Human Resources</v>
      </c>
      <c r="C169" t="str">
        <v>HR Assistant</v>
      </c>
      <c r="D169" s="2">
        <v>42500</v>
      </c>
      <c r="E169" s="2">
        <v>50000</v>
      </c>
      <c r="F169" s="3">
        <v>0.85</v>
      </c>
      <c r="G169" s="2">
        <v>1275</v>
      </c>
      <c r="H169" s="2">
        <v>43775</v>
      </c>
      <c r="I169">
        <v>2500</v>
      </c>
      <c r="J169" s="2">
        <v>45000</v>
      </c>
      <c r="K169">
        <v>5000</v>
      </c>
      <c r="L169" s="2">
        <v>47500</v>
      </c>
      <c r="M169" s="1">
        <v>1</v>
      </c>
      <c r="N169" s="1">
        <v>1</v>
      </c>
    </row>
    <row r="170" spans="1:14" x14ac:dyDescent="0.3">
      <c r="A170" t="str">
        <v>E0169</v>
      </c>
      <c r="B170" t="str">
        <v>Administration</v>
      </c>
      <c r="C170" t="str">
        <v>Administrative Assistant</v>
      </c>
      <c r="D170" s="2">
        <v>49600</v>
      </c>
      <c r="E170" s="2">
        <v>48000</v>
      </c>
      <c r="F170" s="3">
        <v>1.0333333333333334</v>
      </c>
      <c r="G170" s="2">
        <v>1488</v>
      </c>
      <c r="H170" s="2">
        <v>51088</v>
      </c>
      <c r="I170">
        <v>0</v>
      </c>
      <c r="J170" s="2">
        <v>49600</v>
      </c>
      <c r="K170">
        <v>0</v>
      </c>
      <c r="L170" s="2">
        <v>49600</v>
      </c>
      <c r="M170" s="1">
        <v>0</v>
      </c>
      <c r="N170" s="1">
        <v>0</v>
      </c>
    </row>
    <row r="171" spans="1:14" x14ac:dyDescent="0.3">
      <c r="A171" t="str">
        <v>E0170</v>
      </c>
      <c r="B171" t="str">
        <v>Human Resources</v>
      </c>
      <c r="C171" t="str">
        <v>HR Advisor</v>
      </c>
      <c r="D171" s="2">
        <v>59800</v>
      </c>
      <c r="E171" s="2">
        <v>82000</v>
      </c>
      <c r="F171" s="3">
        <v>0.72926829268292681</v>
      </c>
      <c r="G171" s="2">
        <v>1794</v>
      </c>
      <c r="H171" s="2">
        <v>61594</v>
      </c>
      <c r="I171">
        <v>14000</v>
      </c>
      <c r="J171" s="2">
        <v>73800</v>
      </c>
      <c r="K171">
        <v>18100</v>
      </c>
      <c r="L171" s="2">
        <v>77900</v>
      </c>
      <c r="M171" s="1">
        <v>1</v>
      </c>
      <c r="N171" s="1">
        <v>1</v>
      </c>
    </row>
    <row r="172" spans="1:14" x14ac:dyDescent="0.3">
      <c r="A172" t="str">
        <v>E0171</v>
      </c>
      <c r="B172" t="str">
        <v>Human Resources</v>
      </c>
      <c r="C172" t="str">
        <v>HR Advisor</v>
      </c>
      <c r="D172" s="2">
        <v>80700</v>
      </c>
      <c r="E172" s="2">
        <v>82000</v>
      </c>
      <c r="F172" s="3">
        <v>0.98414634146341462</v>
      </c>
      <c r="G172" s="2">
        <v>2421</v>
      </c>
      <c r="H172" s="2">
        <v>83121</v>
      </c>
      <c r="I172">
        <v>0</v>
      </c>
      <c r="J172" s="2">
        <v>80700</v>
      </c>
      <c r="K172">
        <v>0</v>
      </c>
      <c r="L172" s="2">
        <v>80700</v>
      </c>
      <c r="M172" s="1">
        <v>0</v>
      </c>
      <c r="N172" s="1">
        <v>0</v>
      </c>
    </row>
    <row r="173" spans="1:14" x14ac:dyDescent="0.3">
      <c r="A173" t="str">
        <v>E0172</v>
      </c>
      <c r="B173" t="str">
        <v>Policy &amp; Research</v>
      </c>
      <c r="C173" t="str">
        <v>Research Assistant</v>
      </c>
      <c r="D173" s="2">
        <v>47200</v>
      </c>
      <c r="E173" s="2">
        <v>52000</v>
      </c>
      <c r="F173" s="3">
        <v>0.90769230769230769</v>
      </c>
      <c r="G173" s="2">
        <v>1416</v>
      </c>
      <c r="H173" s="2">
        <v>48616</v>
      </c>
      <c r="I173">
        <v>0</v>
      </c>
      <c r="J173" s="2">
        <v>47200</v>
      </c>
      <c r="K173">
        <v>2200</v>
      </c>
      <c r="L173" s="2">
        <v>49400</v>
      </c>
      <c r="M173" s="1">
        <v>0</v>
      </c>
      <c r="N173" s="1">
        <v>1</v>
      </c>
    </row>
    <row r="174" spans="1:14" x14ac:dyDescent="0.3">
      <c r="A174" t="str">
        <v>E0173</v>
      </c>
      <c r="B174" t="str">
        <v>Human Resources</v>
      </c>
      <c r="C174" t="str">
        <v>HR Assistant</v>
      </c>
      <c r="D174" s="2">
        <v>52400</v>
      </c>
      <c r="E174" s="2">
        <v>50000</v>
      </c>
      <c r="F174" s="3">
        <v>1.048</v>
      </c>
      <c r="G174" s="2">
        <v>1572</v>
      </c>
      <c r="H174" s="2">
        <v>53972</v>
      </c>
      <c r="I174">
        <v>0</v>
      </c>
      <c r="J174" s="2">
        <v>52400</v>
      </c>
      <c r="K174">
        <v>0</v>
      </c>
      <c r="L174" s="2">
        <v>52400</v>
      </c>
      <c r="M174" s="1">
        <v>0</v>
      </c>
      <c r="N174" s="1">
        <v>0</v>
      </c>
    </row>
    <row r="175" spans="1:14" x14ac:dyDescent="0.3">
      <c r="A175" t="str">
        <v>E0174</v>
      </c>
      <c r="B175" t="str">
        <v>Administration</v>
      </c>
      <c r="C175" t="str">
        <v>Administrative Coordinator</v>
      </c>
      <c r="D175" s="2">
        <v>59300</v>
      </c>
      <c r="E175" s="2">
        <v>58000</v>
      </c>
      <c r="F175" s="3">
        <v>1.0224137931034483</v>
      </c>
      <c r="G175" s="2">
        <v>1779</v>
      </c>
      <c r="H175" s="2">
        <v>61079</v>
      </c>
      <c r="I175">
        <v>0</v>
      </c>
      <c r="J175" s="2">
        <v>59300</v>
      </c>
      <c r="K175">
        <v>0</v>
      </c>
      <c r="L175" s="2">
        <v>59300</v>
      </c>
      <c r="M175" s="1">
        <v>0</v>
      </c>
      <c r="N175" s="1">
        <v>0</v>
      </c>
    </row>
    <row r="176" spans="1:14" x14ac:dyDescent="0.3">
      <c r="A176" t="str">
        <v>E0175</v>
      </c>
      <c r="B176" t="str">
        <v>Finance</v>
      </c>
      <c r="C176" t="str">
        <v>Finance Assistant</v>
      </c>
      <c r="D176" s="2">
        <v>56100</v>
      </c>
      <c r="E176" s="2">
        <v>52000</v>
      </c>
      <c r="F176" s="3">
        <v>1.0788461538461538</v>
      </c>
      <c r="G176" s="2">
        <v>1683</v>
      </c>
      <c r="H176" s="2">
        <v>57783</v>
      </c>
      <c r="I176">
        <v>0</v>
      </c>
      <c r="J176" s="2">
        <v>56100</v>
      </c>
      <c r="K176">
        <v>0</v>
      </c>
      <c r="L176" s="2">
        <v>56100</v>
      </c>
      <c r="M176" s="1">
        <v>0</v>
      </c>
      <c r="N176" s="1">
        <v>0</v>
      </c>
    </row>
    <row r="177" spans="1:14" x14ac:dyDescent="0.3">
      <c r="A177" t="str">
        <v>E0176</v>
      </c>
      <c r="B177" t="str">
        <v>Policy &amp; Research</v>
      </c>
      <c r="C177" t="str">
        <v>Research Assistant</v>
      </c>
      <c r="D177" s="2">
        <v>47100</v>
      </c>
      <c r="E177" s="2">
        <v>52000</v>
      </c>
      <c r="F177" s="3">
        <v>0.90576923076923077</v>
      </c>
      <c r="G177" s="2">
        <v>1413</v>
      </c>
      <c r="H177" s="2">
        <v>48513</v>
      </c>
      <c r="I177">
        <v>0</v>
      </c>
      <c r="J177" s="2">
        <v>47100</v>
      </c>
      <c r="K177">
        <v>2300</v>
      </c>
      <c r="L177" s="2">
        <v>49400</v>
      </c>
      <c r="M177" s="1">
        <v>0</v>
      </c>
      <c r="N177" s="1">
        <v>1</v>
      </c>
    </row>
    <row r="178" spans="1:14" x14ac:dyDescent="0.3">
      <c r="A178" t="str">
        <v>E0177</v>
      </c>
      <c r="B178" t="str">
        <v>Policy &amp; Research</v>
      </c>
      <c r="C178" t="str">
        <v>Policy Analyst</v>
      </c>
      <c r="D178" s="2">
        <v>56600</v>
      </c>
      <c r="E178" s="2">
        <v>72000</v>
      </c>
      <c r="F178" s="3">
        <v>0.78611111111111109</v>
      </c>
      <c r="G178" s="2">
        <v>1698</v>
      </c>
      <c r="H178" s="2">
        <v>58298</v>
      </c>
      <c r="I178">
        <v>8200</v>
      </c>
      <c r="J178" s="2">
        <v>64800</v>
      </c>
      <c r="K178">
        <v>11800</v>
      </c>
      <c r="L178" s="2">
        <v>68400</v>
      </c>
      <c r="M178" s="1">
        <v>1</v>
      </c>
      <c r="N178" s="1">
        <v>1</v>
      </c>
    </row>
    <row r="179" spans="1:14" x14ac:dyDescent="0.3">
      <c r="A179" t="str">
        <v>E0178</v>
      </c>
      <c r="B179" t="str">
        <v>Policy &amp; Research</v>
      </c>
      <c r="C179" t="str">
        <v>Senior Policy Analyst</v>
      </c>
      <c r="D179" s="2">
        <v>88000</v>
      </c>
      <c r="E179" s="2">
        <v>90000</v>
      </c>
      <c r="F179" s="3">
        <v>0.97777777777777775</v>
      </c>
      <c r="G179" s="2">
        <v>2640</v>
      </c>
      <c r="H179" s="2">
        <v>90640</v>
      </c>
      <c r="I179">
        <v>0</v>
      </c>
      <c r="J179" s="2">
        <v>88000</v>
      </c>
      <c r="K179">
        <v>0</v>
      </c>
      <c r="L179" s="2">
        <v>88000</v>
      </c>
      <c r="M179" s="1">
        <v>0</v>
      </c>
      <c r="N179" s="1">
        <v>0</v>
      </c>
    </row>
    <row r="180" spans="1:14" x14ac:dyDescent="0.3">
      <c r="A180" t="str">
        <v>E0179</v>
      </c>
      <c r="B180" t="str">
        <v>Operations</v>
      </c>
      <c r="C180" t="str">
        <v>Operations Manager</v>
      </c>
      <c r="D180" s="2">
        <v>87200</v>
      </c>
      <c r="E180" s="2">
        <v>85000</v>
      </c>
      <c r="F180" s="3">
        <v>1.0258823529411765</v>
      </c>
      <c r="G180" s="2">
        <v>2616</v>
      </c>
      <c r="H180" s="2">
        <v>89816</v>
      </c>
      <c r="I180">
        <v>0</v>
      </c>
      <c r="J180" s="2">
        <v>87200</v>
      </c>
      <c r="K180">
        <v>0</v>
      </c>
      <c r="L180" s="2">
        <v>87200</v>
      </c>
      <c r="M180" s="1">
        <v>0</v>
      </c>
      <c r="N180" s="1">
        <v>0</v>
      </c>
    </row>
    <row r="181" spans="1:14" x14ac:dyDescent="0.3">
      <c r="A181" t="str">
        <v>E0180</v>
      </c>
      <c r="B181" t="str">
        <v>Operations</v>
      </c>
      <c r="C181" t="str">
        <v>Operations Analyst</v>
      </c>
      <c r="D181" s="2">
        <v>66000</v>
      </c>
      <c r="E181" s="2">
        <v>68000</v>
      </c>
      <c r="F181" s="3">
        <v>0.97058823529411764</v>
      </c>
      <c r="G181" s="2">
        <v>1980</v>
      </c>
      <c r="H181" s="2">
        <v>67980</v>
      </c>
      <c r="I181">
        <v>0</v>
      </c>
      <c r="J181" s="2">
        <v>66000</v>
      </c>
      <c r="K181">
        <v>0</v>
      </c>
      <c r="L181" s="2">
        <v>66000</v>
      </c>
      <c r="M181" s="1">
        <v>0</v>
      </c>
      <c r="N181" s="1">
        <v>0</v>
      </c>
    </row>
    <row r="182" spans="1:14" x14ac:dyDescent="0.3">
      <c r="A182" t="str">
        <v>E0181</v>
      </c>
      <c r="B182" t="str">
        <v>Information Technology</v>
      </c>
      <c r="C182" t="str">
        <v>Senior Systems Analyst</v>
      </c>
      <c r="D182" s="2">
        <v>87200</v>
      </c>
      <c r="E182" s="2">
        <v>98000</v>
      </c>
      <c r="F182" s="3">
        <v>0.88979591836734695</v>
      </c>
      <c r="G182" s="2">
        <v>2616</v>
      </c>
      <c r="H182" s="2">
        <v>89816</v>
      </c>
      <c r="I182">
        <v>1000</v>
      </c>
      <c r="J182" s="2">
        <v>88200</v>
      </c>
      <c r="K182">
        <v>5900</v>
      </c>
      <c r="L182" s="2">
        <v>93100</v>
      </c>
      <c r="M182" s="1">
        <v>1</v>
      </c>
      <c r="N182" s="1">
        <v>1</v>
      </c>
    </row>
    <row r="183" spans="1:14" x14ac:dyDescent="0.3">
      <c r="A183" t="str">
        <v>E0182</v>
      </c>
      <c r="B183" t="str">
        <v>Administration</v>
      </c>
      <c r="C183" t="str">
        <v>Administrative Coordinator</v>
      </c>
      <c r="D183" s="2">
        <v>62700</v>
      </c>
      <c r="E183" s="2">
        <v>58000</v>
      </c>
      <c r="F183" s="3">
        <v>1.0810344827586207</v>
      </c>
      <c r="G183" s="2">
        <v>1881</v>
      </c>
      <c r="H183" s="2">
        <v>64581</v>
      </c>
      <c r="I183">
        <v>0</v>
      </c>
      <c r="J183" s="2">
        <v>62700</v>
      </c>
      <c r="K183">
        <v>0</v>
      </c>
      <c r="L183" s="2">
        <v>62700</v>
      </c>
      <c r="M183" s="1">
        <v>0</v>
      </c>
      <c r="N183" s="1">
        <v>0</v>
      </c>
    </row>
    <row r="184" spans="1:14" x14ac:dyDescent="0.3">
      <c r="A184" t="str">
        <v>E0183</v>
      </c>
      <c r="B184" t="str">
        <v>Administration</v>
      </c>
      <c r="C184" t="str">
        <v>Administrative Coordinator</v>
      </c>
      <c r="D184" s="2">
        <v>69800</v>
      </c>
      <c r="E184" s="2">
        <v>58000</v>
      </c>
      <c r="F184" s="3">
        <v>1.203448275862069</v>
      </c>
      <c r="G184" s="2">
        <v>2094</v>
      </c>
      <c r="H184" s="2">
        <v>71894</v>
      </c>
      <c r="I184">
        <v>0</v>
      </c>
      <c r="J184" s="2">
        <v>69800</v>
      </c>
      <c r="K184">
        <v>0</v>
      </c>
      <c r="L184" s="2">
        <v>69800</v>
      </c>
      <c r="M184" s="1">
        <v>0</v>
      </c>
      <c r="N184" s="1">
        <v>0</v>
      </c>
    </row>
    <row r="185" spans="1:14" x14ac:dyDescent="0.3">
      <c r="A185" t="str">
        <v>E0184</v>
      </c>
      <c r="B185" t="str">
        <v>Policy &amp; Research</v>
      </c>
      <c r="C185" t="str">
        <v>Senior Policy Analyst</v>
      </c>
      <c r="D185" s="2">
        <v>90200</v>
      </c>
      <c r="E185" s="2">
        <v>90000</v>
      </c>
      <c r="F185" s="3">
        <v>1.0022222222222221</v>
      </c>
      <c r="G185" s="2">
        <v>2706</v>
      </c>
      <c r="H185" s="2">
        <v>92906</v>
      </c>
      <c r="I185">
        <v>0</v>
      </c>
      <c r="J185" s="2">
        <v>90200</v>
      </c>
      <c r="K185">
        <v>0</v>
      </c>
      <c r="L185" s="2">
        <v>90200</v>
      </c>
      <c r="M185" s="1">
        <v>0</v>
      </c>
      <c r="N185" s="1">
        <v>0</v>
      </c>
    </row>
    <row r="186" spans="1:14" x14ac:dyDescent="0.3">
      <c r="A186" t="str">
        <v>E0185</v>
      </c>
      <c r="B186" t="str">
        <v>Finance</v>
      </c>
      <c r="C186" t="str">
        <v>Finance Assistant</v>
      </c>
      <c r="D186" s="2">
        <v>48300</v>
      </c>
      <c r="E186" s="2">
        <v>52000</v>
      </c>
      <c r="F186" s="3">
        <v>0.92884615384615388</v>
      </c>
      <c r="G186" s="2">
        <v>1449</v>
      </c>
      <c r="H186" s="2">
        <v>49749</v>
      </c>
      <c r="I186">
        <v>0</v>
      </c>
      <c r="J186" s="2">
        <v>48300</v>
      </c>
      <c r="K186">
        <v>1100</v>
      </c>
      <c r="L186" s="2">
        <v>49400</v>
      </c>
      <c r="M186" s="1">
        <v>0</v>
      </c>
      <c r="N186" s="1">
        <v>1</v>
      </c>
    </row>
    <row r="187" spans="1:14" x14ac:dyDescent="0.3">
      <c r="A187" t="str">
        <v>E0186</v>
      </c>
      <c r="B187" t="str">
        <v>Finance</v>
      </c>
      <c r="C187" t="str">
        <v>Senior Financial Analyst</v>
      </c>
      <c r="D187" s="2">
        <v>75300</v>
      </c>
      <c r="E187" s="2">
        <v>88000</v>
      </c>
      <c r="F187" s="3">
        <v>0.85568181818181821</v>
      </c>
      <c r="G187" s="2">
        <v>2259</v>
      </c>
      <c r="H187" s="2">
        <v>77559</v>
      </c>
      <c r="I187">
        <v>3900</v>
      </c>
      <c r="J187" s="2">
        <v>79200</v>
      </c>
      <c r="K187">
        <v>8300</v>
      </c>
      <c r="L187" s="2">
        <v>83600</v>
      </c>
      <c r="M187" s="1">
        <v>1</v>
      </c>
      <c r="N187" s="1">
        <v>1</v>
      </c>
    </row>
    <row r="188" spans="1:14" x14ac:dyDescent="0.3">
      <c r="A188" t="str">
        <v>E0187</v>
      </c>
      <c r="B188" t="str">
        <v>Finance</v>
      </c>
      <c r="C188" t="str">
        <v>Senior Financial Analyst</v>
      </c>
      <c r="D188" s="2">
        <v>79700</v>
      </c>
      <c r="E188" s="2">
        <v>88000</v>
      </c>
      <c r="F188" s="3">
        <v>0.90568181818181814</v>
      </c>
      <c r="G188" s="2">
        <v>2391</v>
      </c>
      <c r="H188" s="2">
        <v>82091</v>
      </c>
      <c r="I188">
        <v>0</v>
      </c>
      <c r="J188" s="2">
        <v>79700</v>
      </c>
      <c r="K188">
        <v>3900</v>
      </c>
      <c r="L188" s="2">
        <v>83600</v>
      </c>
      <c r="M188" s="1">
        <v>0</v>
      </c>
      <c r="N188" s="1">
        <v>1</v>
      </c>
    </row>
    <row r="189" spans="1:14" x14ac:dyDescent="0.3">
      <c r="A189" t="str">
        <v>E0188</v>
      </c>
      <c r="B189" t="str">
        <v>Human Resources</v>
      </c>
      <c r="C189" t="str">
        <v>HR Advisor</v>
      </c>
      <c r="D189" s="2">
        <v>78600</v>
      </c>
      <c r="E189" s="2">
        <v>82000</v>
      </c>
      <c r="F189" s="3">
        <v>0.95853658536585362</v>
      </c>
      <c r="G189" s="2">
        <v>2358</v>
      </c>
      <c r="H189" s="2">
        <v>80958</v>
      </c>
      <c r="I189">
        <v>0</v>
      </c>
      <c r="J189" s="2">
        <v>78600</v>
      </c>
      <c r="K189">
        <v>0</v>
      </c>
      <c r="L189" s="2">
        <v>78600</v>
      </c>
      <c r="M189" s="1">
        <v>0</v>
      </c>
      <c r="N189" s="1">
        <v>0</v>
      </c>
    </row>
    <row r="190" spans="1:14" x14ac:dyDescent="0.3">
      <c r="A190" t="str">
        <v>E0189</v>
      </c>
      <c r="B190" t="str">
        <v>Policy &amp; Research</v>
      </c>
      <c r="C190" t="str">
        <v>Research Assistant</v>
      </c>
      <c r="D190" s="2">
        <v>44700</v>
      </c>
      <c r="E190" s="2">
        <v>52000</v>
      </c>
      <c r="F190" s="3">
        <v>0.85961538461538467</v>
      </c>
      <c r="G190" s="2">
        <v>1341</v>
      </c>
      <c r="H190" s="2">
        <v>46041</v>
      </c>
      <c r="I190">
        <v>2100</v>
      </c>
      <c r="J190" s="2">
        <v>46800</v>
      </c>
      <c r="K190">
        <v>4700</v>
      </c>
      <c r="L190" s="2">
        <v>49400</v>
      </c>
      <c r="M190" s="1">
        <v>1</v>
      </c>
      <c r="N190" s="1">
        <v>1</v>
      </c>
    </row>
    <row r="191" spans="1:14" x14ac:dyDescent="0.3">
      <c r="A191" t="str">
        <v>E0190</v>
      </c>
      <c r="B191" t="str">
        <v>Finance</v>
      </c>
      <c r="C191" t="str">
        <v>Finance Assistant</v>
      </c>
      <c r="D191" s="2">
        <v>45700</v>
      </c>
      <c r="E191" s="2">
        <v>52000</v>
      </c>
      <c r="F191" s="3">
        <v>0.87884615384615383</v>
      </c>
      <c r="G191" s="2">
        <v>1371</v>
      </c>
      <c r="H191" s="2">
        <v>47071</v>
      </c>
      <c r="I191">
        <v>1100</v>
      </c>
      <c r="J191" s="2">
        <v>46800</v>
      </c>
      <c r="K191">
        <v>3700</v>
      </c>
      <c r="L191" s="2">
        <v>49400</v>
      </c>
      <c r="M191" s="1">
        <v>1</v>
      </c>
      <c r="N191" s="1">
        <v>1</v>
      </c>
    </row>
    <row r="192" spans="1:14" x14ac:dyDescent="0.3">
      <c r="A192" t="str">
        <v>E0191</v>
      </c>
      <c r="B192" t="str">
        <v>Information Technology</v>
      </c>
      <c r="C192" t="str">
        <v>IT Support Analyst</v>
      </c>
      <c r="D192" s="2">
        <v>55700</v>
      </c>
      <c r="E192" s="2">
        <v>58000</v>
      </c>
      <c r="F192" s="3">
        <v>0.96034482758620687</v>
      </c>
      <c r="G192" s="2">
        <v>1671</v>
      </c>
      <c r="H192" s="2">
        <v>57371</v>
      </c>
      <c r="I192">
        <v>0</v>
      </c>
      <c r="J192" s="2">
        <v>55700</v>
      </c>
      <c r="K192">
        <v>0</v>
      </c>
      <c r="L192" s="2">
        <v>55700</v>
      </c>
      <c r="M192" s="1">
        <v>0</v>
      </c>
      <c r="N192" s="1">
        <v>0</v>
      </c>
    </row>
    <row r="193" spans="1:14" x14ac:dyDescent="0.3">
      <c r="A193" t="str">
        <v>E0192</v>
      </c>
      <c r="B193" t="str">
        <v>Administration</v>
      </c>
      <c r="C193" t="str">
        <v>Office Manager</v>
      </c>
      <c r="D193" s="2">
        <v>76500</v>
      </c>
      <c r="E193" s="2">
        <v>72000</v>
      </c>
      <c r="F193" s="3">
        <v>1.0625</v>
      </c>
      <c r="G193" s="2">
        <v>2295</v>
      </c>
      <c r="H193" s="2">
        <v>78795</v>
      </c>
      <c r="I193">
        <v>0</v>
      </c>
      <c r="J193" s="2">
        <v>76500</v>
      </c>
      <c r="K193">
        <v>0</v>
      </c>
      <c r="L193" s="2">
        <v>76500</v>
      </c>
      <c r="M193" s="1">
        <v>0</v>
      </c>
      <c r="N193" s="1">
        <v>0</v>
      </c>
    </row>
    <row r="194" spans="1:14" x14ac:dyDescent="0.3">
      <c r="A194" t="str">
        <v>E0193</v>
      </c>
      <c r="B194" t="str">
        <v>Operations</v>
      </c>
      <c r="C194" t="str">
        <v>Operations Manager</v>
      </c>
      <c r="D194" s="2">
        <v>79800</v>
      </c>
      <c r="E194" s="2">
        <v>85000</v>
      </c>
      <c r="F194" s="3">
        <v>0.93882352941176472</v>
      </c>
      <c r="G194" s="2">
        <v>2394</v>
      </c>
      <c r="H194" s="2">
        <v>82194</v>
      </c>
      <c r="I194">
        <v>0</v>
      </c>
      <c r="J194" s="2">
        <v>79800</v>
      </c>
      <c r="K194">
        <v>950</v>
      </c>
      <c r="L194" s="2">
        <v>80750</v>
      </c>
      <c r="M194" s="1">
        <v>0</v>
      </c>
      <c r="N194" s="1">
        <v>1</v>
      </c>
    </row>
    <row r="195" spans="1:14" x14ac:dyDescent="0.3">
      <c r="A195" t="str">
        <v>E0194</v>
      </c>
      <c r="B195" t="str">
        <v>Policy &amp; Research</v>
      </c>
      <c r="C195" t="str">
        <v>Research Assistant</v>
      </c>
      <c r="D195" s="2">
        <v>50200</v>
      </c>
      <c r="E195" s="2">
        <v>52000</v>
      </c>
      <c r="F195" s="3">
        <v>0.9653846153846154</v>
      </c>
      <c r="G195" s="2">
        <v>1506</v>
      </c>
      <c r="H195" s="2">
        <v>51706</v>
      </c>
      <c r="I195">
        <v>0</v>
      </c>
      <c r="J195" s="2">
        <v>50200</v>
      </c>
      <c r="K195">
        <v>0</v>
      </c>
      <c r="L195" s="2">
        <v>50200</v>
      </c>
      <c r="M195" s="1">
        <v>0</v>
      </c>
      <c r="N195" s="1">
        <v>0</v>
      </c>
    </row>
    <row r="196" spans="1:14" x14ac:dyDescent="0.3">
      <c r="A196" t="str">
        <v>E0195</v>
      </c>
      <c r="B196" t="str">
        <v>Human Resources</v>
      </c>
      <c r="C196" t="str">
        <v>HR Analyst</v>
      </c>
      <c r="D196" s="2">
        <v>74000</v>
      </c>
      <c r="E196" s="2">
        <v>68000</v>
      </c>
      <c r="F196" s="3">
        <v>1.088235294117647</v>
      </c>
      <c r="G196" s="2">
        <v>2220</v>
      </c>
      <c r="H196" s="2">
        <v>76220</v>
      </c>
      <c r="I196">
        <v>0</v>
      </c>
      <c r="J196" s="2">
        <v>74000</v>
      </c>
      <c r="K196">
        <v>0</v>
      </c>
      <c r="L196" s="2">
        <v>74000</v>
      </c>
      <c r="M196" s="1">
        <v>0</v>
      </c>
      <c r="N196" s="1">
        <v>0</v>
      </c>
    </row>
    <row r="197" spans="1:14" x14ac:dyDescent="0.3">
      <c r="A197" t="str">
        <v>E0196</v>
      </c>
      <c r="B197" t="str">
        <v>Information Technology</v>
      </c>
      <c r="C197" t="str">
        <v>IT Support Analyst</v>
      </c>
      <c r="D197" s="2">
        <v>39700</v>
      </c>
      <c r="E197" s="2">
        <v>58000</v>
      </c>
      <c r="F197" s="3">
        <v>0.68448275862068964</v>
      </c>
      <c r="G197" s="2">
        <v>1191</v>
      </c>
      <c r="H197" s="2">
        <v>40891</v>
      </c>
      <c r="I197">
        <v>12500</v>
      </c>
      <c r="J197" s="2">
        <v>52200</v>
      </c>
      <c r="K197">
        <v>15400</v>
      </c>
      <c r="L197" s="2">
        <v>55100</v>
      </c>
      <c r="M197" s="1">
        <v>1</v>
      </c>
      <c r="N197" s="1">
        <v>1</v>
      </c>
    </row>
    <row r="198" spans="1:14" x14ac:dyDescent="0.3">
      <c r="A198" t="str">
        <v>E0197</v>
      </c>
      <c r="B198" t="str">
        <v>Human Resources</v>
      </c>
      <c r="C198" t="str">
        <v>HR Advisor</v>
      </c>
      <c r="D198" s="2">
        <v>66400</v>
      </c>
      <c r="E198" s="2">
        <v>82000</v>
      </c>
      <c r="F198" s="3">
        <v>0.80975609756097566</v>
      </c>
      <c r="G198" s="2">
        <v>1992</v>
      </c>
      <c r="H198" s="2">
        <v>68392</v>
      </c>
      <c r="I198">
        <v>7400</v>
      </c>
      <c r="J198" s="2">
        <v>73800</v>
      </c>
      <c r="K198">
        <v>11500</v>
      </c>
      <c r="L198" s="2">
        <v>77900</v>
      </c>
      <c r="M198" s="1">
        <v>1</v>
      </c>
      <c r="N198" s="1">
        <v>1</v>
      </c>
    </row>
    <row r="199" spans="1:14" x14ac:dyDescent="0.3">
      <c r="A199" t="str">
        <v>E0198</v>
      </c>
      <c r="B199" t="str">
        <v>Operations</v>
      </c>
      <c r="C199" t="str">
        <v>Operations Analyst</v>
      </c>
      <c r="D199" s="2">
        <v>59300</v>
      </c>
      <c r="E199" s="2">
        <v>68000</v>
      </c>
      <c r="F199" s="3">
        <v>0.87205882352941178</v>
      </c>
      <c r="G199" s="2">
        <v>1779</v>
      </c>
      <c r="H199" s="2">
        <v>61079</v>
      </c>
      <c r="I199">
        <v>1900</v>
      </c>
      <c r="J199" s="2">
        <v>61200</v>
      </c>
      <c r="K199">
        <v>5300</v>
      </c>
      <c r="L199" s="2">
        <v>64600</v>
      </c>
      <c r="M199" s="1">
        <v>1</v>
      </c>
      <c r="N199" s="1">
        <v>1</v>
      </c>
    </row>
    <row r="200" spans="1:14" x14ac:dyDescent="0.3">
      <c r="A200" t="str">
        <v>E0199</v>
      </c>
      <c r="B200" t="str">
        <v>Information Technology</v>
      </c>
      <c r="C200" t="str">
        <v>Systems Analyst</v>
      </c>
      <c r="D200" s="2">
        <v>79700</v>
      </c>
      <c r="E200" s="2">
        <v>78000</v>
      </c>
      <c r="F200" s="3">
        <v>1.0217948717948717</v>
      </c>
      <c r="G200" s="2">
        <v>2391</v>
      </c>
      <c r="H200" s="2">
        <v>82091</v>
      </c>
      <c r="I200">
        <v>0</v>
      </c>
      <c r="J200" s="2">
        <v>79700</v>
      </c>
      <c r="K200">
        <v>0</v>
      </c>
      <c r="L200" s="2">
        <v>79700</v>
      </c>
      <c r="M200" s="1">
        <v>0</v>
      </c>
      <c r="N200" s="1">
        <v>0</v>
      </c>
    </row>
    <row r="201" spans="1:14" x14ac:dyDescent="0.3">
      <c r="A201" t="str">
        <v>E0200</v>
      </c>
      <c r="B201" t="str">
        <v>Policy &amp; Research</v>
      </c>
      <c r="C201" t="str">
        <v>Policy Analyst</v>
      </c>
      <c r="D201" s="2">
        <v>60300</v>
      </c>
      <c r="E201" s="2">
        <v>72000</v>
      </c>
      <c r="F201" s="3">
        <v>0.83750000000000002</v>
      </c>
      <c r="G201" s="2">
        <v>1809</v>
      </c>
      <c r="H201" s="2">
        <v>62109</v>
      </c>
      <c r="I201">
        <v>4500</v>
      </c>
      <c r="J201" s="2">
        <v>64800</v>
      </c>
      <c r="K201">
        <v>8100</v>
      </c>
      <c r="L201" s="2">
        <v>68400</v>
      </c>
      <c r="M201" s="1">
        <v>1</v>
      </c>
      <c r="N201" s="1">
        <v>1</v>
      </c>
    </row>
    <row r="202" spans="1:14" x14ac:dyDescent="0.3">
      <c r="A202" t="str">
        <v>E0201</v>
      </c>
      <c r="B202" t="str">
        <v>Human Resources</v>
      </c>
      <c r="C202" t="str">
        <v>HR Assistant</v>
      </c>
      <c r="D202" s="2">
        <v>53700</v>
      </c>
      <c r="E202" s="2">
        <v>50000</v>
      </c>
      <c r="F202" s="3">
        <v>1.0740000000000001</v>
      </c>
      <c r="G202" s="2">
        <v>1611</v>
      </c>
      <c r="H202" s="2">
        <v>55311</v>
      </c>
      <c r="I202">
        <v>0</v>
      </c>
      <c r="J202" s="2">
        <v>53700</v>
      </c>
      <c r="K202">
        <v>0</v>
      </c>
      <c r="L202" s="2">
        <v>53700</v>
      </c>
      <c r="M202" s="1">
        <v>0</v>
      </c>
      <c r="N202" s="1">
        <v>0</v>
      </c>
    </row>
    <row r="203" spans="1:14" x14ac:dyDescent="0.3">
      <c r="A203" t="str">
        <v>E0202</v>
      </c>
      <c r="B203" t="str">
        <v>Information Technology</v>
      </c>
      <c r="C203" t="str">
        <v>IT Support Analyst</v>
      </c>
      <c r="D203" s="2">
        <v>57500</v>
      </c>
      <c r="E203" s="2">
        <v>58000</v>
      </c>
      <c r="F203" s="3">
        <v>0.99137931034482762</v>
      </c>
      <c r="G203" s="2">
        <v>1725</v>
      </c>
      <c r="H203" s="2">
        <v>59225</v>
      </c>
      <c r="I203">
        <v>0</v>
      </c>
      <c r="J203" s="2">
        <v>57500</v>
      </c>
      <c r="K203">
        <v>0</v>
      </c>
      <c r="L203" s="2">
        <v>57500</v>
      </c>
      <c r="M203" s="1">
        <v>0</v>
      </c>
      <c r="N203" s="1">
        <v>0</v>
      </c>
    </row>
    <row r="204" spans="1:14" x14ac:dyDescent="0.3">
      <c r="A204" t="str">
        <v>E0203</v>
      </c>
      <c r="B204" t="str">
        <v>Finance</v>
      </c>
      <c r="C204" t="str">
        <v>Senior Financial Analyst</v>
      </c>
      <c r="D204" s="2">
        <v>86500</v>
      </c>
      <c r="E204" s="2">
        <v>88000</v>
      </c>
      <c r="F204" s="3">
        <v>0.98295454545454541</v>
      </c>
      <c r="G204" s="2">
        <v>2595</v>
      </c>
      <c r="H204" s="2">
        <v>89095</v>
      </c>
      <c r="I204">
        <v>0</v>
      </c>
      <c r="J204" s="2">
        <v>86500</v>
      </c>
      <c r="K204">
        <v>0</v>
      </c>
      <c r="L204" s="2">
        <v>86500</v>
      </c>
      <c r="M204" s="1">
        <v>0</v>
      </c>
      <c r="N204" s="1">
        <v>0</v>
      </c>
    </row>
    <row r="205" spans="1:14" x14ac:dyDescent="0.3">
      <c r="A205" t="str">
        <v>E0204</v>
      </c>
      <c r="B205" t="str">
        <v>Information Technology</v>
      </c>
      <c r="C205" t="str">
        <v>Systems Analyst</v>
      </c>
      <c r="D205" s="2">
        <v>64300</v>
      </c>
      <c r="E205" s="2">
        <v>78000</v>
      </c>
      <c r="F205" s="3">
        <v>0.82435897435897432</v>
      </c>
      <c r="G205" s="2">
        <v>1929</v>
      </c>
      <c r="H205" s="2">
        <v>66229</v>
      </c>
      <c r="I205">
        <v>5900</v>
      </c>
      <c r="J205" s="2">
        <v>70200</v>
      </c>
      <c r="K205">
        <v>9800</v>
      </c>
      <c r="L205" s="2">
        <v>74100</v>
      </c>
      <c r="M205" s="1">
        <v>1</v>
      </c>
      <c r="N205" s="1">
        <v>1</v>
      </c>
    </row>
    <row r="206" spans="1:14" x14ac:dyDescent="0.3">
      <c r="A206" t="str">
        <v>E0205</v>
      </c>
      <c r="B206" t="str">
        <v>Policy &amp; Research</v>
      </c>
      <c r="C206" t="str">
        <v>Senior Policy Analyst</v>
      </c>
      <c r="D206" s="2">
        <v>82500</v>
      </c>
      <c r="E206" s="2">
        <v>90000</v>
      </c>
      <c r="F206" s="3">
        <v>0.91666666666666663</v>
      </c>
      <c r="G206" s="2">
        <v>2475</v>
      </c>
      <c r="H206" s="2">
        <v>84975</v>
      </c>
      <c r="I206">
        <v>0</v>
      </c>
      <c r="J206" s="2">
        <v>82500</v>
      </c>
      <c r="K206">
        <v>3000</v>
      </c>
      <c r="L206" s="2">
        <v>85500</v>
      </c>
      <c r="M206" s="1">
        <v>0</v>
      </c>
      <c r="N206" s="1">
        <v>1</v>
      </c>
    </row>
    <row r="207" spans="1:14" x14ac:dyDescent="0.3">
      <c r="A207" t="str">
        <v>E0206</v>
      </c>
      <c r="B207" t="str">
        <v>Information Technology</v>
      </c>
      <c r="C207" t="str">
        <v>IT Support Analyst</v>
      </c>
      <c r="D207" s="2">
        <v>54500</v>
      </c>
      <c r="E207" s="2">
        <v>58000</v>
      </c>
      <c r="F207" s="3">
        <v>0.93965517241379315</v>
      </c>
      <c r="G207" s="2">
        <v>1635</v>
      </c>
      <c r="H207" s="2">
        <v>56135</v>
      </c>
      <c r="I207">
        <v>0</v>
      </c>
      <c r="J207" s="2">
        <v>54500</v>
      </c>
      <c r="K207">
        <v>600</v>
      </c>
      <c r="L207" s="2">
        <v>55100</v>
      </c>
      <c r="M207" s="1">
        <v>0</v>
      </c>
      <c r="N207" s="1">
        <v>1</v>
      </c>
    </row>
    <row r="208" spans="1:14" x14ac:dyDescent="0.3">
      <c r="A208" t="str">
        <v>E0207</v>
      </c>
      <c r="B208" t="str">
        <v>Operations</v>
      </c>
      <c r="C208" t="str">
        <v>Operations Assistant</v>
      </c>
      <c r="D208" s="2">
        <v>45700</v>
      </c>
      <c r="E208" s="2">
        <v>50000</v>
      </c>
      <c r="F208" s="3">
        <v>0.91400000000000003</v>
      </c>
      <c r="G208" s="2">
        <v>1371</v>
      </c>
      <c r="H208" s="2">
        <v>47071</v>
      </c>
      <c r="I208">
        <v>0</v>
      </c>
      <c r="J208" s="2">
        <v>45700</v>
      </c>
      <c r="K208">
        <v>1800</v>
      </c>
      <c r="L208" s="2">
        <v>47500</v>
      </c>
      <c r="M208" s="1">
        <v>0</v>
      </c>
      <c r="N208" s="1">
        <v>1</v>
      </c>
    </row>
    <row r="209" spans="1:14" x14ac:dyDescent="0.3">
      <c r="A209" t="str">
        <v>E0208</v>
      </c>
      <c r="B209" t="str">
        <v>Operations</v>
      </c>
      <c r="C209" t="str">
        <v>Operations Manager</v>
      </c>
      <c r="D209" s="2">
        <v>82900</v>
      </c>
      <c r="E209" s="2">
        <v>85000</v>
      </c>
      <c r="F209" s="3">
        <v>0.97529411764705887</v>
      </c>
      <c r="G209" s="2">
        <v>2487</v>
      </c>
      <c r="H209" s="2">
        <v>85387</v>
      </c>
      <c r="I209">
        <v>0</v>
      </c>
      <c r="J209" s="2">
        <v>82900</v>
      </c>
      <c r="K209">
        <v>0</v>
      </c>
      <c r="L209" s="2">
        <v>82900</v>
      </c>
      <c r="M209" s="1">
        <v>0</v>
      </c>
      <c r="N209" s="1">
        <v>0</v>
      </c>
    </row>
    <row r="210" spans="1:14" x14ac:dyDescent="0.3">
      <c r="A210" t="str">
        <v>E0209</v>
      </c>
      <c r="B210" t="str">
        <v>Administration</v>
      </c>
      <c r="C210" t="str">
        <v>Administrative Coordinator</v>
      </c>
      <c r="D210" s="2">
        <v>60100</v>
      </c>
      <c r="E210" s="2">
        <v>58000</v>
      </c>
      <c r="F210" s="3">
        <v>1.0362068965517242</v>
      </c>
      <c r="G210" s="2">
        <v>1803</v>
      </c>
      <c r="H210" s="2">
        <v>61903</v>
      </c>
      <c r="I210">
        <v>0</v>
      </c>
      <c r="J210" s="2">
        <v>60100</v>
      </c>
      <c r="K210">
        <v>0</v>
      </c>
      <c r="L210" s="2">
        <v>60100</v>
      </c>
      <c r="M210" s="1">
        <v>0</v>
      </c>
      <c r="N210" s="1">
        <v>0</v>
      </c>
    </row>
    <row r="211" spans="1:14" x14ac:dyDescent="0.3">
      <c r="A211" t="str">
        <v>E0210</v>
      </c>
      <c r="B211" t="str">
        <v>Administration</v>
      </c>
      <c r="C211" t="str">
        <v>Office Manager</v>
      </c>
      <c r="D211" s="2">
        <v>76000</v>
      </c>
      <c r="E211" s="2">
        <v>72000</v>
      </c>
      <c r="F211" s="3">
        <v>1.0555555555555556</v>
      </c>
      <c r="G211" s="2">
        <v>2280</v>
      </c>
      <c r="H211" s="2">
        <v>78280</v>
      </c>
      <c r="I211">
        <v>0</v>
      </c>
      <c r="J211" s="2">
        <v>76000</v>
      </c>
      <c r="K211">
        <v>0</v>
      </c>
      <c r="L211" s="2">
        <v>76000</v>
      </c>
      <c r="M211" s="1">
        <v>0</v>
      </c>
      <c r="N211" s="1">
        <v>0</v>
      </c>
    </row>
    <row r="212" spans="1:14" x14ac:dyDescent="0.3">
      <c r="A212" t="str">
        <v>E0211</v>
      </c>
      <c r="B212" t="str">
        <v>Human Resources</v>
      </c>
      <c r="C212" t="str">
        <v>HR Analyst</v>
      </c>
      <c r="D212" s="2">
        <v>66600</v>
      </c>
      <c r="E212" s="2">
        <v>68000</v>
      </c>
      <c r="F212" s="3">
        <v>0.97941176470588232</v>
      </c>
      <c r="G212" s="2">
        <v>1998</v>
      </c>
      <c r="H212" s="2">
        <v>68598</v>
      </c>
      <c r="I212">
        <v>0</v>
      </c>
      <c r="J212" s="2">
        <v>66600</v>
      </c>
      <c r="K212">
        <v>0</v>
      </c>
      <c r="L212" s="2">
        <v>66600</v>
      </c>
      <c r="M212" s="1">
        <v>0</v>
      </c>
      <c r="N212" s="1">
        <v>0</v>
      </c>
    </row>
    <row r="213" spans="1:14" x14ac:dyDescent="0.3">
      <c r="A213" t="str">
        <v>E0212</v>
      </c>
      <c r="B213" t="str">
        <v>Policy &amp; Research</v>
      </c>
      <c r="C213" t="str">
        <v>Senior Policy Analyst</v>
      </c>
      <c r="D213" s="2">
        <v>91100</v>
      </c>
      <c r="E213" s="2">
        <v>90000</v>
      </c>
      <c r="F213" s="3">
        <v>1.0122222222222221</v>
      </c>
      <c r="G213" s="2">
        <v>2733</v>
      </c>
      <c r="H213" s="2">
        <v>93833</v>
      </c>
      <c r="I213">
        <v>0</v>
      </c>
      <c r="J213" s="2">
        <v>91100</v>
      </c>
      <c r="K213">
        <v>0</v>
      </c>
      <c r="L213" s="2">
        <v>91100</v>
      </c>
      <c r="M213" s="1">
        <v>0</v>
      </c>
      <c r="N213" s="1">
        <v>0</v>
      </c>
    </row>
    <row r="214" spans="1:14" x14ac:dyDescent="0.3">
      <c r="A214" t="str">
        <v>E0213</v>
      </c>
      <c r="B214" t="str">
        <v>Policy &amp; Research</v>
      </c>
      <c r="C214" t="str">
        <v>Policy Analyst</v>
      </c>
      <c r="D214" s="2">
        <v>67300</v>
      </c>
      <c r="E214" s="2">
        <v>72000</v>
      </c>
      <c r="F214" s="3">
        <v>0.93472222222222223</v>
      </c>
      <c r="G214" s="2">
        <v>2019</v>
      </c>
      <c r="H214" s="2">
        <v>69319</v>
      </c>
      <c r="I214">
        <v>0</v>
      </c>
      <c r="J214" s="2">
        <v>67300</v>
      </c>
      <c r="K214">
        <v>1100</v>
      </c>
      <c r="L214" s="2">
        <v>68400</v>
      </c>
      <c r="M214" s="1">
        <v>0</v>
      </c>
      <c r="N214" s="1">
        <v>1</v>
      </c>
    </row>
    <row r="215" spans="1:14" x14ac:dyDescent="0.3">
      <c r="A215" t="str">
        <v>E0214</v>
      </c>
      <c r="B215" t="str">
        <v>Operations</v>
      </c>
      <c r="C215" t="str">
        <v>Operations Analyst</v>
      </c>
      <c r="D215" s="2">
        <v>60000</v>
      </c>
      <c r="E215" s="2">
        <v>68000</v>
      </c>
      <c r="F215" s="3">
        <v>0.88235294117647056</v>
      </c>
      <c r="G215" s="2">
        <v>1800</v>
      </c>
      <c r="H215" s="2">
        <v>61800</v>
      </c>
      <c r="I215">
        <v>1200</v>
      </c>
      <c r="J215" s="2">
        <v>61200</v>
      </c>
      <c r="K215">
        <v>4600</v>
      </c>
      <c r="L215" s="2">
        <v>64600</v>
      </c>
      <c r="M215" s="1">
        <v>1</v>
      </c>
      <c r="N215" s="1">
        <v>1</v>
      </c>
    </row>
    <row r="216" spans="1:14" x14ac:dyDescent="0.3">
      <c r="A216" t="str">
        <v>E0215</v>
      </c>
      <c r="B216" t="str">
        <v>Finance</v>
      </c>
      <c r="C216" t="str">
        <v>Financial Analyst</v>
      </c>
      <c r="D216" s="2">
        <v>72900</v>
      </c>
      <c r="E216" s="2">
        <v>70000</v>
      </c>
      <c r="F216" s="3">
        <v>1.0414285714285714</v>
      </c>
      <c r="G216" s="2">
        <v>2187</v>
      </c>
      <c r="H216" s="2">
        <v>75087</v>
      </c>
      <c r="I216">
        <v>0</v>
      </c>
      <c r="J216" s="2">
        <v>72900</v>
      </c>
      <c r="K216">
        <v>0</v>
      </c>
      <c r="L216" s="2">
        <v>72900</v>
      </c>
      <c r="M216" s="1">
        <v>0</v>
      </c>
      <c r="N216" s="1">
        <v>0</v>
      </c>
    </row>
    <row r="217" spans="1:14" x14ac:dyDescent="0.3">
      <c r="A217" t="str">
        <v>E0216</v>
      </c>
      <c r="B217" t="str">
        <v>Finance</v>
      </c>
      <c r="C217" t="str">
        <v>Finance Assistant</v>
      </c>
      <c r="D217" s="2">
        <v>44600</v>
      </c>
      <c r="E217" s="2">
        <v>52000</v>
      </c>
      <c r="F217" s="3">
        <v>0.85769230769230764</v>
      </c>
      <c r="G217" s="2">
        <v>1338</v>
      </c>
      <c r="H217" s="2">
        <v>45938</v>
      </c>
      <c r="I217">
        <v>2200</v>
      </c>
      <c r="J217" s="2">
        <v>46800</v>
      </c>
      <c r="K217">
        <v>4800</v>
      </c>
      <c r="L217" s="2">
        <v>49400</v>
      </c>
      <c r="M217" s="1">
        <v>1</v>
      </c>
      <c r="N217" s="1">
        <v>1</v>
      </c>
    </row>
    <row r="218" spans="1:14" x14ac:dyDescent="0.3">
      <c r="A218" t="str">
        <v>E0217</v>
      </c>
      <c r="B218" t="str">
        <v>Policy &amp; Research</v>
      </c>
      <c r="C218" t="str">
        <v>Research Assistant</v>
      </c>
      <c r="D218" s="2">
        <v>46200</v>
      </c>
      <c r="E218" s="2">
        <v>52000</v>
      </c>
      <c r="F218" s="3">
        <v>0.88846153846153841</v>
      </c>
      <c r="G218" s="2">
        <v>1386</v>
      </c>
      <c r="H218" s="2">
        <v>47586</v>
      </c>
      <c r="I218">
        <v>600</v>
      </c>
      <c r="J218" s="2">
        <v>46800</v>
      </c>
      <c r="K218">
        <v>3200</v>
      </c>
      <c r="L218" s="2">
        <v>49400</v>
      </c>
      <c r="M218" s="1">
        <v>1</v>
      </c>
      <c r="N218" s="1">
        <v>1</v>
      </c>
    </row>
    <row r="219" spans="1:14" x14ac:dyDescent="0.3">
      <c r="A219" t="str">
        <v>E0218</v>
      </c>
      <c r="B219" t="str">
        <v>Information Technology</v>
      </c>
      <c r="C219" t="str">
        <v>Systems Analyst</v>
      </c>
      <c r="D219" s="2">
        <v>74300</v>
      </c>
      <c r="E219" s="2">
        <v>78000</v>
      </c>
      <c r="F219" s="3">
        <v>0.95256410256410251</v>
      </c>
      <c r="G219" s="2">
        <v>2229</v>
      </c>
      <c r="H219" s="2">
        <v>76529</v>
      </c>
      <c r="I219">
        <v>0</v>
      </c>
      <c r="J219" s="2">
        <v>74300</v>
      </c>
      <c r="K219">
        <v>0</v>
      </c>
      <c r="L219" s="2">
        <v>74300</v>
      </c>
      <c r="M219" s="1">
        <v>0</v>
      </c>
      <c r="N219" s="1">
        <v>0</v>
      </c>
    </row>
    <row r="220" spans="1:14" x14ac:dyDescent="0.3">
      <c r="A220" t="str">
        <v>E0219</v>
      </c>
      <c r="B220" t="str">
        <v>Policy &amp; Research</v>
      </c>
      <c r="C220" t="str">
        <v>Senior Policy Analyst</v>
      </c>
      <c r="D220" s="2">
        <v>92900</v>
      </c>
      <c r="E220" s="2">
        <v>90000</v>
      </c>
      <c r="F220" s="3">
        <v>1.0322222222222222</v>
      </c>
      <c r="G220" s="2">
        <v>2787</v>
      </c>
      <c r="H220" s="2">
        <v>95687</v>
      </c>
      <c r="I220">
        <v>0</v>
      </c>
      <c r="J220" s="2">
        <v>92900</v>
      </c>
      <c r="K220">
        <v>0</v>
      </c>
      <c r="L220" s="2">
        <v>92900</v>
      </c>
      <c r="M220" s="1">
        <v>0</v>
      </c>
      <c r="N220" s="1">
        <v>0</v>
      </c>
    </row>
    <row r="221" spans="1:14" x14ac:dyDescent="0.3">
      <c r="A221" t="str">
        <v>E0220</v>
      </c>
      <c r="B221" t="str">
        <v>Human Resources</v>
      </c>
      <c r="C221" t="str">
        <v>HR Advisor</v>
      </c>
      <c r="D221" s="2">
        <v>76900</v>
      </c>
      <c r="E221" s="2">
        <v>82000</v>
      </c>
      <c r="F221" s="3">
        <v>0.93780487804878043</v>
      </c>
      <c r="G221" s="2">
        <v>2307</v>
      </c>
      <c r="H221" s="2">
        <v>79207</v>
      </c>
      <c r="I221">
        <v>0</v>
      </c>
      <c r="J221" s="2">
        <v>76900</v>
      </c>
      <c r="K221">
        <v>1000</v>
      </c>
      <c r="L221" s="2">
        <v>77900</v>
      </c>
      <c r="M221" s="1">
        <v>0</v>
      </c>
      <c r="N221" s="1">
        <v>1</v>
      </c>
    </row>
    <row r="222" spans="1:14" x14ac:dyDescent="0.3">
      <c r="A222" t="str">
        <v>E0221</v>
      </c>
      <c r="B222" t="str">
        <v>Finance</v>
      </c>
      <c r="C222" t="str">
        <v>Senior Financial Analyst</v>
      </c>
      <c r="D222" s="2">
        <v>83200</v>
      </c>
      <c r="E222" s="2">
        <v>88000</v>
      </c>
      <c r="F222" s="3">
        <v>0.94545454545454544</v>
      </c>
      <c r="G222" s="2">
        <v>2496</v>
      </c>
      <c r="H222" s="2">
        <v>85696</v>
      </c>
      <c r="I222">
        <v>0</v>
      </c>
      <c r="J222" s="2">
        <v>83200</v>
      </c>
      <c r="K222">
        <v>400</v>
      </c>
      <c r="L222" s="2">
        <v>83600</v>
      </c>
      <c r="M222" s="1">
        <v>0</v>
      </c>
      <c r="N222" s="1">
        <v>1</v>
      </c>
    </row>
    <row r="223" spans="1:14" x14ac:dyDescent="0.3">
      <c r="A223" t="str">
        <v>E0222</v>
      </c>
      <c r="B223" t="str">
        <v>Finance</v>
      </c>
      <c r="C223" t="str">
        <v>Senior Financial Analyst</v>
      </c>
      <c r="D223" s="2">
        <v>73800</v>
      </c>
      <c r="E223" s="2">
        <v>88000</v>
      </c>
      <c r="F223" s="3">
        <v>0.83863636363636362</v>
      </c>
      <c r="G223" s="2">
        <v>2214</v>
      </c>
      <c r="H223" s="2">
        <v>76014</v>
      </c>
      <c r="I223">
        <v>5400</v>
      </c>
      <c r="J223" s="2">
        <v>79200</v>
      </c>
      <c r="K223">
        <v>9800</v>
      </c>
      <c r="L223" s="2">
        <v>83600</v>
      </c>
      <c r="M223" s="1">
        <v>1</v>
      </c>
      <c r="N223" s="1">
        <v>1</v>
      </c>
    </row>
    <row r="224" spans="1:14" x14ac:dyDescent="0.3">
      <c r="A224" t="str">
        <v>E0223</v>
      </c>
      <c r="B224" t="str">
        <v>Information Technology</v>
      </c>
      <c r="C224" t="str">
        <v>Senior Systems Analyst</v>
      </c>
      <c r="D224" s="2">
        <v>76500</v>
      </c>
      <c r="E224" s="2">
        <v>98000</v>
      </c>
      <c r="F224" s="3">
        <v>0.78061224489795922</v>
      </c>
      <c r="G224" s="2">
        <v>2295</v>
      </c>
      <c r="H224" s="2">
        <v>78795</v>
      </c>
      <c r="I224">
        <v>11700</v>
      </c>
      <c r="J224" s="2">
        <v>88200</v>
      </c>
      <c r="K224">
        <v>16600</v>
      </c>
      <c r="L224" s="2">
        <v>93100</v>
      </c>
      <c r="M224" s="1">
        <v>1</v>
      </c>
      <c r="N224" s="1">
        <v>1</v>
      </c>
    </row>
    <row r="225" spans="1:14" x14ac:dyDescent="0.3">
      <c r="A225" t="str">
        <v>E0224</v>
      </c>
      <c r="B225" t="str">
        <v>Finance</v>
      </c>
      <c r="C225" t="str">
        <v>Financial Analyst</v>
      </c>
      <c r="D225" s="2">
        <v>73400</v>
      </c>
      <c r="E225" s="2">
        <v>70000</v>
      </c>
      <c r="F225" s="3">
        <v>1.0485714285714285</v>
      </c>
      <c r="G225" s="2">
        <v>2202</v>
      </c>
      <c r="H225" s="2">
        <v>75602</v>
      </c>
      <c r="I225">
        <v>0</v>
      </c>
      <c r="J225" s="2">
        <v>73400</v>
      </c>
      <c r="K225">
        <v>0</v>
      </c>
      <c r="L225" s="2">
        <v>73400</v>
      </c>
      <c r="M225" s="1">
        <v>0</v>
      </c>
      <c r="N225" s="1">
        <v>0</v>
      </c>
    </row>
    <row r="226" spans="1:14" x14ac:dyDescent="0.3">
      <c r="A226" t="str">
        <v>E0225</v>
      </c>
      <c r="B226" t="str">
        <v>Administration</v>
      </c>
      <c r="C226" t="str">
        <v>Administrative Assistant</v>
      </c>
      <c r="D226" s="2">
        <v>41800</v>
      </c>
      <c r="E226" s="2">
        <v>48000</v>
      </c>
      <c r="F226" s="3">
        <v>0.87083333333333335</v>
      </c>
      <c r="G226" s="2">
        <v>1254</v>
      </c>
      <c r="H226" s="2">
        <v>43054</v>
      </c>
      <c r="I226">
        <v>1400</v>
      </c>
      <c r="J226" s="2">
        <v>43200</v>
      </c>
      <c r="K226">
        <v>3800</v>
      </c>
      <c r="L226" s="2">
        <v>45600</v>
      </c>
      <c r="M226" s="1">
        <v>1</v>
      </c>
      <c r="N226" s="1">
        <v>1</v>
      </c>
    </row>
    <row r="227" spans="1:14" x14ac:dyDescent="0.3">
      <c r="A227" t="str">
        <v>E0226</v>
      </c>
      <c r="B227" t="str">
        <v>Finance</v>
      </c>
      <c r="C227" t="str">
        <v>Finance Assistant</v>
      </c>
      <c r="D227" s="2">
        <v>49000</v>
      </c>
      <c r="E227" s="2">
        <v>52000</v>
      </c>
      <c r="F227" s="3">
        <v>0.94230769230769229</v>
      </c>
      <c r="G227" s="2">
        <v>1470</v>
      </c>
      <c r="H227" s="2">
        <v>50470</v>
      </c>
      <c r="I227">
        <v>0</v>
      </c>
      <c r="J227" s="2">
        <v>49000</v>
      </c>
      <c r="K227">
        <v>400</v>
      </c>
      <c r="L227" s="2">
        <v>49400</v>
      </c>
      <c r="M227" s="1">
        <v>0</v>
      </c>
      <c r="N227" s="1">
        <v>1</v>
      </c>
    </row>
    <row r="228" spans="1:14" x14ac:dyDescent="0.3">
      <c r="A228" t="str">
        <v>E0227</v>
      </c>
      <c r="B228" t="str">
        <v>Operations</v>
      </c>
      <c r="C228" t="str">
        <v>Operations Analyst</v>
      </c>
      <c r="D228" s="2">
        <v>71300</v>
      </c>
      <c r="E228" s="2">
        <v>68000</v>
      </c>
      <c r="F228" s="3">
        <v>1.0485294117647059</v>
      </c>
      <c r="G228" s="2">
        <v>2139</v>
      </c>
      <c r="H228" s="2">
        <v>73439</v>
      </c>
      <c r="I228">
        <v>0</v>
      </c>
      <c r="J228" s="2">
        <v>71300</v>
      </c>
      <c r="K228">
        <v>0</v>
      </c>
      <c r="L228" s="2">
        <v>71300</v>
      </c>
      <c r="M228" s="1">
        <v>0</v>
      </c>
      <c r="N228" s="1">
        <v>0</v>
      </c>
    </row>
    <row r="229" spans="1:14" x14ac:dyDescent="0.3">
      <c r="A229" t="str">
        <v>E0228</v>
      </c>
      <c r="B229" t="str">
        <v>Administration</v>
      </c>
      <c r="C229" t="str">
        <v>Administrative Assistant</v>
      </c>
      <c r="D229" s="2">
        <v>42700</v>
      </c>
      <c r="E229" s="2">
        <v>48000</v>
      </c>
      <c r="F229" s="3">
        <v>0.88958333333333328</v>
      </c>
      <c r="G229" s="2">
        <v>1281</v>
      </c>
      <c r="H229" s="2">
        <v>43981</v>
      </c>
      <c r="I229">
        <v>500</v>
      </c>
      <c r="J229" s="2">
        <v>43200</v>
      </c>
      <c r="K229">
        <v>2900</v>
      </c>
      <c r="L229" s="2">
        <v>45600</v>
      </c>
      <c r="M229" s="1">
        <v>1</v>
      </c>
      <c r="N229" s="1">
        <v>1</v>
      </c>
    </row>
    <row r="230" spans="1:14" x14ac:dyDescent="0.3">
      <c r="A230" t="str">
        <v>E0229</v>
      </c>
      <c r="B230" t="str">
        <v>Administration</v>
      </c>
      <c r="C230" t="str">
        <v>Office Manager</v>
      </c>
      <c r="D230" s="2">
        <v>71100</v>
      </c>
      <c r="E230" s="2">
        <v>72000</v>
      </c>
      <c r="F230" s="3">
        <v>0.98750000000000004</v>
      </c>
      <c r="G230" s="2">
        <v>2133</v>
      </c>
      <c r="H230" s="2">
        <v>73233</v>
      </c>
      <c r="I230">
        <v>0</v>
      </c>
      <c r="J230" s="2">
        <v>71100</v>
      </c>
      <c r="K230">
        <v>0</v>
      </c>
      <c r="L230" s="2">
        <v>71100</v>
      </c>
      <c r="M230" s="1">
        <v>0</v>
      </c>
      <c r="N230" s="1">
        <v>0</v>
      </c>
    </row>
    <row r="231" spans="1:14" x14ac:dyDescent="0.3">
      <c r="A231" t="str">
        <v>E0230</v>
      </c>
      <c r="B231" t="str">
        <v>Policy &amp; Research</v>
      </c>
      <c r="C231" t="str">
        <v>Research Assistant</v>
      </c>
      <c r="D231" s="2">
        <v>52600</v>
      </c>
      <c r="E231" s="2">
        <v>52000</v>
      </c>
      <c r="F231" s="3">
        <v>1.0115384615384615</v>
      </c>
      <c r="G231" s="2">
        <v>1578</v>
      </c>
      <c r="H231" s="2">
        <v>54178</v>
      </c>
      <c r="I231">
        <v>0</v>
      </c>
      <c r="J231" s="2">
        <v>52600</v>
      </c>
      <c r="K231">
        <v>0</v>
      </c>
      <c r="L231" s="2">
        <v>52600</v>
      </c>
      <c r="M231" s="1">
        <v>0</v>
      </c>
      <c r="N231" s="1">
        <v>0</v>
      </c>
    </row>
    <row r="232" spans="1:14" x14ac:dyDescent="0.3">
      <c r="A232" t="str">
        <v>E0231</v>
      </c>
      <c r="B232" t="str">
        <v>Operations</v>
      </c>
      <c r="C232" t="str">
        <v>Operations Assistant</v>
      </c>
      <c r="D232" s="2">
        <v>49600</v>
      </c>
      <c r="E232" s="2">
        <v>50000</v>
      </c>
      <c r="F232" s="3">
        <v>0.99199999999999999</v>
      </c>
      <c r="G232" s="2">
        <v>1488</v>
      </c>
      <c r="H232" s="2">
        <v>51088</v>
      </c>
      <c r="I232">
        <v>0</v>
      </c>
      <c r="J232" s="2">
        <v>49600</v>
      </c>
      <c r="K232">
        <v>0</v>
      </c>
      <c r="L232" s="2">
        <v>49600</v>
      </c>
      <c r="M232" s="1">
        <v>0</v>
      </c>
      <c r="N232" s="1">
        <v>0</v>
      </c>
    </row>
    <row r="233" spans="1:14" x14ac:dyDescent="0.3">
      <c r="A233" t="str">
        <v>E0232</v>
      </c>
      <c r="B233" t="str">
        <v>Finance</v>
      </c>
      <c r="C233" t="str">
        <v>Finance Assistant</v>
      </c>
      <c r="D233" s="2">
        <v>50500</v>
      </c>
      <c r="E233" s="2">
        <v>52000</v>
      </c>
      <c r="F233" s="3">
        <v>0.97115384615384615</v>
      </c>
      <c r="G233" s="2">
        <v>1515</v>
      </c>
      <c r="H233" s="2">
        <v>52015</v>
      </c>
      <c r="I233">
        <v>0</v>
      </c>
      <c r="J233" s="2">
        <v>50500</v>
      </c>
      <c r="K233">
        <v>0</v>
      </c>
      <c r="L233" s="2">
        <v>50500</v>
      </c>
      <c r="M233" s="1">
        <v>0</v>
      </c>
      <c r="N233" s="1">
        <v>0</v>
      </c>
    </row>
    <row r="234" spans="1:14" x14ac:dyDescent="0.3">
      <c r="A234" t="str">
        <v>E0233</v>
      </c>
      <c r="B234" t="str">
        <v>Policy &amp; Research</v>
      </c>
      <c r="C234" t="str">
        <v>Senior Policy Analyst</v>
      </c>
      <c r="D234" s="2">
        <v>83700</v>
      </c>
      <c r="E234" s="2">
        <v>90000</v>
      </c>
      <c r="F234" s="3">
        <v>0.93</v>
      </c>
      <c r="G234" s="2">
        <v>2511</v>
      </c>
      <c r="H234" s="2">
        <v>86211</v>
      </c>
      <c r="I234">
        <v>0</v>
      </c>
      <c r="J234" s="2">
        <v>83700</v>
      </c>
      <c r="K234">
        <v>1800</v>
      </c>
      <c r="L234" s="2">
        <v>85500</v>
      </c>
      <c r="M234" s="1">
        <v>0</v>
      </c>
      <c r="N234" s="1">
        <v>1</v>
      </c>
    </row>
    <row r="235" spans="1:14" x14ac:dyDescent="0.3">
      <c r="A235" t="str">
        <v>E0234</v>
      </c>
      <c r="B235" t="str">
        <v>Policy &amp; Research</v>
      </c>
      <c r="C235" t="str">
        <v>Policy Analyst</v>
      </c>
      <c r="D235" s="2">
        <v>61500</v>
      </c>
      <c r="E235" s="2">
        <v>72000</v>
      </c>
      <c r="F235" s="3">
        <v>0.85416666666666663</v>
      </c>
      <c r="G235" s="2">
        <v>1845</v>
      </c>
      <c r="H235" s="2">
        <v>63345</v>
      </c>
      <c r="I235">
        <v>3300</v>
      </c>
      <c r="J235" s="2">
        <v>64800</v>
      </c>
      <c r="K235">
        <v>6900</v>
      </c>
      <c r="L235" s="2">
        <v>68400</v>
      </c>
      <c r="M235" s="1">
        <v>1</v>
      </c>
      <c r="N235" s="1">
        <v>1</v>
      </c>
    </row>
    <row r="236" spans="1:14" x14ac:dyDescent="0.3">
      <c r="A236" t="str">
        <v>E0235</v>
      </c>
      <c r="B236" t="str">
        <v>Finance</v>
      </c>
      <c r="C236" t="str">
        <v>Senior Financial Analyst</v>
      </c>
      <c r="D236" s="2">
        <v>72400</v>
      </c>
      <c r="E236" s="2">
        <v>88000</v>
      </c>
      <c r="F236" s="3">
        <v>0.82272727272727275</v>
      </c>
      <c r="G236" s="2">
        <v>2172</v>
      </c>
      <c r="H236" s="2">
        <v>74572</v>
      </c>
      <c r="I236">
        <v>6800</v>
      </c>
      <c r="J236" s="2">
        <v>79200</v>
      </c>
      <c r="K236">
        <v>11200</v>
      </c>
      <c r="L236" s="2">
        <v>83600</v>
      </c>
      <c r="M236" s="1">
        <v>1</v>
      </c>
      <c r="N236" s="1">
        <v>1</v>
      </c>
    </row>
    <row r="237" spans="1:14" x14ac:dyDescent="0.3">
      <c r="A237" t="str">
        <v>E0236</v>
      </c>
      <c r="B237" t="str">
        <v>Information Technology</v>
      </c>
      <c r="C237" t="str">
        <v>IT Support Analyst</v>
      </c>
      <c r="D237" s="2">
        <v>63300</v>
      </c>
      <c r="E237" s="2">
        <v>58000</v>
      </c>
      <c r="F237" s="3">
        <v>1.0913793103448275</v>
      </c>
      <c r="G237" s="2">
        <v>1899</v>
      </c>
      <c r="H237" s="2">
        <v>65199</v>
      </c>
      <c r="I237">
        <v>0</v>
      </c>
      <c r="J237" s="2">
        <v>63300</v>
      </c>
      <c r="K237">
        <v>0</v>
      </c>
      <c r="L237" s="2">
        <v>63300</v>
      </c>
      <c r="M237" s="1">
        <v>0</v>
      </c>
      <c r="N237" s="1">
        <v>0</v>
      </c>
    </row>
    <row r="238" spans="1:14" x14ac:dyDescent="0.3">
      <c r="A238" t="str">
        <v>E0237</v>
      </c>
      <c r="B238" t="str">
        <v>Human Resources</v>
      </c>
      <c r="C238" t="str">
        <v>HR Analyst</v>
      </c>
      <c r="D238" s="2">
        <v>65800</v>
      </c>
      <c r="E238" s="2">
        <v>68000</v>
      </c>
      <c r="F238" s="3">
        <v>0.96764705882352942</v>
      </c>
      <c r="G238" s="2">
        <v>1974</v>
      </c>
      <c r="H238" s="2">
        <v>67774</v>
      </c>
      <c r="I238">
        <v>0</v>
      </c>
      <c r="J238" s="2">
        <v>65800</v>
      </c>
      <c r="K238">
        <v>0</v>
      </c>
      <c r="L238" s="2">
        <v>65800</v>
      </c>
      <c r="M238" s="1">
        <v>0</v>
      </c>
      <c r="N238" s="1">
        <v>0</v>
      </c>
    </row>
    <row r="239" spans="1:14" x14ac:dyDescent="0.3">
      <c r="A239" t="str">
        <v>E0238</v>
      </c>
      <c r="B239" t="str">
        <v>Operations</v>
      </c>
      <c r="C239" t="str">
        <v>Operations Assistant</v>
      </c>
      <c r="D239" s="2">
        <v>54400</v>
      </c>
      <c r="E239" s="2">
        <v>50000</v>
      </c>
      <c r="F239" s="3">
        <v>1.0880000000000001</v>
      </c>
      <c r="G239" s="2">
        <v>1632</v>
      </c>
      <c r="H239" s="2">
        <v>56032</v>
      </c>
      <c r="I239">
        <v>0</v>
      </c>
      <c r="J239" s="2">
        <v>54400</v>
      </c>
      <c r="K239">
        <v>0</v>
      </c>
      <c r="L239" s="2">
        <v>54400</v>
      </c>
      <c r="M239" s="1">
        <v>0</v>
      </c>
      <c r="N239" s="1">
        <v>0</v>
      </c>
    </row>
    <row r="240" spans="1:14" x14ac:dyDescent="0.3">
      <c r="A240" t="str">
        <v>E0239</v>
      </c>
      <c r="B240" t="str">
        <v>Policy &amp; Research</v>
      </c>
      <c r="C240" t="str">
        <v>Policy Analyst</v>
      </c>
      <c r="D240" s="2">
        <v>73500</v>
      </c>
      <c r="E240" s="2">
        <v>72000</v>
      </c>
      <c r="F240" s="3">
        <v>1.0208333333333333</v>
      </c>
      <c r="G240" s="2">
        <v>2205</v>
      </c>
      <c r="H240" s="2">
        <v>75705</v>
      </c>
      <c r="I240">
        <v>0</v>
      </c>
      <c r="J240" s="2">
        <v>73500</v>
      </c>
      <c r="K240">
        <v>0</v>
      </c>
      <c r="L240" s="2">
        <v>73500</v>
      </c>
      <c r="M240" s="1">
        <v>0</v>
      </c>
      <c r="N240" s="1">
        <v>0</v>
      </c>
    </row>
    <row r="241" spans="1:14" x14ac:dyDescent="0.3">
      <c r="A241" t="str">
        <v>E0240</v>
      </c>
      <c r="B241" t="str">
        <v>Human Resources</v>
      </c>
      <c r="C241" t="str">
        <v>HR Advisor</v>
      </c>
      <c r="D241" s="2">
        <v>78300</v>
      </c>
      <c r="E241" s="2">
        <v>82000</v>
      </c>
      <c r="F241" s="3">
        <v>0.95487804878048776</v>
      </c>
      <c r="G241" s="2">
        <v>2349</v>
      </c>
      <c r="H241" s="2">
        <v>80649</v>
      </c>
      <c r="I241">
        <v>0</v>
      </c>
      <c r="J241" s="2">
        <v>78300</v>
      </c>
      <c r="K241">
        <v>0</v>
      </c>
      <c r="L241" s="2">
        <v>78300</v>
      </c>
      <c r="M241" s="1">
        <v>0</v>
      </c>
      <c r="N241" s="1">
        <v>0</v>
      </c>
    </row>
    <row r="242" spans="1:14" x14ac:dyDescent="0.3">
      <c r="A242" t="str">
        <v>E0241</v>
      </c>
      <c r="B242" t="str">
        <v>Policy &amp; Research</v>
      </c>
      <c r="C242" t="str">
        <v>Policy Analyst</v>
      </c>
      <c r="D242" s="2">
        <v>85000</v>
      </c>
      <c r="E242" s="2">
        <v>72000</v>
      </c>
      <c r="F242" s="3">
        <v>1.1805555555555556</v>
      </c>
      <c r="G242" s="2">
        <v>2550</v>
      </c>
      <c r="H242" s="2">
        <v>87550</v>
      </c>
      <c r="I242">
        <v>0</v>
      </c>
      <c r="J242" s="2">
        <v>85000</v>
      </c>
      <c r="K242">
        <v>0</v>
      </c>
      <c r="L242" s="2">
        <v>85000</v>
      </c>
      <c r="M242" s="1">
        <v>0</v>
      </c>
      <c r="N242" s="1">
        <v>0</v>
      </c>
    </row>
    <row r="243" spans="1:14" x14ac:dyDescent="0.3">
      <c r="A243" t="str">
        <v>E0242</v>
      </c>
      <c r="B243" t="str">
        <v>Information Technology</v>
      </c>
      <c r="C243" t="str">
        <v>Senior Systems Analyst</v>
      </c>
      <c r="D243" s="2">
        <v>89500</v>
      </c>
      <c r="E243" s="2">
        <v>98000</v>
      </c>
      <c r="F243" s="3">
        <v>0.91326530612244894</v>
      </c>
      <c r="G243" s="2">
        <v>2685</v>
      </c>
      <c r="H243" s="2">
        <v>92185</v>
      </c>
      <c r="I243">
        <v>0</v>
      </c>
      <c r="J243" s="2">
        <v>89500</v>
      </c>
      <c r="K243">
        <v>3600</v>
      </c>
      <c r="L243" s="2">
        <v>93100</v>
      </c>
      <c r="M243" s="1">
        <v>0</v>
      </c>
      <c r="N243" s="1">
        <v>1</v>
      </c>
    </row>
    <row r="244" spans="1:14" x14ac:dyDescent="0.3">
      <c r="A244" t="str">
        <v>E0243</v>
      </c>
      <c r="B244" t="str">
        <v>Information Technology</v>
      </c>
      <c r="C244" t="str">
        <v>IT Support Analyst</v>
      </c>
      <c r="D244" s="2">
        <v>53400</v>
      </c>
      <c r="E244" s="2">
        <v>58000</v>
      </c>
      <c r="F244" s="3">
        <v>0.92068965517241375</v>
      </c>
      <c r="G244" s="2">
        <v>1602</v>
      </c>
      <c r="H244" s="2">
        <v>55002</v>
      </c>
      <c r="I244">
        <v>0</v>
      </c>
      <c r="J244" s="2">
        <v>53400</v>
      </c>
      <c r="K244">
        <v>1700</v>
      </c>
      <c r="L244" s="2">
        <v>55100</v>
      </c>
      <c r="M244" s="1">
        <v>0</v>
      </c>
      <c r="N244" s="1">
        <v>1</v>
      </c>
    </row>
    <row r="245" spans="1:14" x14ac:dyDescent="0.3">
      <c r="A245" t="str">
        <v>E0244</v>
      </c>
      <c r="B245" t="str">
        <v>Operations</v>
      </c>
      <c r="C245" t="str">
        <v>Operations Analyst</v>
      </c>
      <c r="D245" s="2">
        <v>59100</v>
      </c>
      <c r="E245" s="2">
        <v>68000</v>
      </c>
      <c r="F245" s="3">
        <v>0.86911764705882355</v>
      </c>
      <c r="G245" s="2">
        <v>1773</v>
      </c>
      <c r="H245" s="2">
        <v>60873</v>
      </c>
      <c r="I245">
        <v>2100</v>
      </c>
      <c r="J245" s="2">
        <v>61200</v>
      </c>
      <c r="K245">
        <v>5500</v>
      </c>
      <c r="L245" s="2">
        <v>64600</v>
      </c>
      <c r="M245" s="1">
        <v>1</v>
      </c>
      <c r="N245" s="1">
        <v>1</v>
      </c>
    </row>
    <row r="246" spans="1:14" x14ac:dyDescent="0.3">
      <c r="A246" t="str">
        <v>E0245</v>
      </c>
      <c r="B246" t="str">
        <v>Policy &amp; Research</v>
      </c>
      <c r="C246" t="str">
        <v>Research Assistant</v>
      </c>
      <c r="D246" s="2">
        <v>49200</v>
      </c>
      <c r="E246" s="2">
        <v>52000</v>
      </c>
      <c r="F246" s="3">
        <v>0.94615384615384612</v>
      </c>
      <c r="G246" s="2">
        <v>1476</v>
      </c>
      <c r="H246" s="2">
        <v>50676</v>
      </c>
      <c r="I246">
        <v>0</v>
      </c>
      <c r="J246" s="2">
        <v>49200</v>
      </c>
      <c r="K246">
        <v>200</v>
      </c>
      <c r="L246" s="2">
        <v>49400</v>
      </c>
      <c r="M246" s="1">
        <v>0</v>
      </c>
      <c r="N246" s="1">
        <v>1</v>
      </c>
    </row>
    <row r="247" spans="1:14" x14ac:dyDescent="0.3">
      <c r="A247" t="str">
        <v>E0246</v>
      </c>
      <c r="B247" t="str">
        <v>Administration</v>
      </c>
      <c r="C247" t="str">
        <v>Administrative Assistant</v>
      </c>
      <c r="D247" s="2">
        <v>46700</v>
      </c>
      <c r="E247" s="2">
        <v>48000</v>
      </c>
      <c r="F247" s="3">
        <v>0.97291666666666665</v>
      </c>
      <c r="G247" s="2">
        <v>1401</v>
      </c>
      <c r="H247" s="2">
        <v>48101</v>
      </c>
      <c r="I247">
        <v>0</v>
      </c>
      <c r="J247" s="2">
        <v>46700</v>
      </c>
      <c r="K247">
        <v>0</v>
      </c>
      <c r="L247" s="2">
        <v>46700</v>
      </c>
      <c r="M247" s="1">
        <v>0</v>
      </c>
      <c r="N247" s="1">
        <v>0</v>
      </c>
    </row>
    <row r="248" spans="1:14" x14ac:dyDescent="0.3">
      <c r="A248" t="str">
        <v>E0247</v>
      </c>
      <c r="B248" t="str">
        <v>Finance</v>
      </c>
      <c r="C248" t="str">
        <v>Finance Assistant</v>
      </c>
      <c r="D248" s="2">
        <v>54500</v>
      </c>
      <c r="E248" s="2">
        <v>52000</v>
      </c>
      <c r="F248" s="3">
        <v>1.0480769230769231</v>
      </c>
      <c r="G248" s="2">
        <v>1635</v>
      </c>
      <c r="H248" s="2">
        <v>56135</v>
      </c>
      <c r="I248">
        <v>0</v>
      </c>
      <c r="J248" s="2">
        <v>54500</v>
      </c>
      <c r="K248">
        <v>0</v>
      </c>
      <c r="L248" s="2">
        <v>54500</v>
      </c>
      <c r="M248" s="1">
        <v>0</v>
      </c>
      <c r="N248" s="1">
        <v>0</v>
      </c>
    </row>
    <row r="249" spans="1:14" x14ac:dyDescent="0.3">
      <c r="A249" t="str">
        <v>E0248</v>
      </c>
      <c r="B249" t="str">
        <v>Operations</v>
      </c>
      <c r="C249" t="str">
        <v>Operations Manager</v>
      </c>
      <c r="D249" s="2">
        <v>78900</v>
      </c>
      <c r="E249" s="2">
        <v>85000</v>
      </c>
      <c r="F249" s="3">
        <v>0.92823529411764705</v>
      </c>
      <c r="G249" s="2">
        <v>2367</v>
      </c>
      <c r="H249" s="2">
        <v>81267</v>
      </c>
      <c r="I249">
        <v>0</v>
      </c>
      <c r="J249" s="2">
        <v>78900</v>
      </c>
      <c r="K249">
        <v>1850</v>
      </c>
      <c r="L249" s="2">
        <v>80750</v>
      </c>
      <c r="M249" s="1">
        <v>0</v>
      </c>
      <c r="N249" s="1">
        <v>1</v>
      </c>
    </row>
    <row r="250" spans="1:14" x14ac:dyDescent="0.3">
      <c r="A250" t="str">
        <v>E0249</v>
      </c>
      <c r="B250" t="str">
        <v>Information Technology</v>
      </c>
      <c r="C250" t="str">
        <v>Senior Systems Analyst</v>
      </c>
      <c r="D250" s="2">
        <v>104500</v>
      </c>
      <c r="E250" s="2">
        <v>98000</v>
      </c>
      <c r="F250" s="3">
        <v>1.0663265306122449</v>
      </c>
      <c r="G250" s="2">
        <v>3135</v>
      </c>
      <c r="H250" s="2">
        <v>107635</v>
      </c>
      <c r="I250">
        <v>0</v>
      </c>
      <c r="J250" s="2">
        <v>104500</v>
      </c>
      <c r="K250">
        <v>0</v>
      </c>
      <c r="L250" s="2">
        <v>104500</v>
      </c>
      <c r="M250" s="1">
        <v>0</v>
      </c>
      <c r="N250" s="1">
        <v>0</v>
      </c>
    </row>
    <row r="251" spans="1:14" x14ac:dyDescent="0.3">
      <c r="A251" t="str">
        <v>E0250</v>
      </c>
      <c r="B251" t="str">
        <v>Policy &amp; Research</v>
      </c>
      <c r="C251" t="str">
        <v>Policy Analyst</v>
      </c>
      <c r="D251" s="2">
        <v>80100</v>
      </c>
      <c r="E251" s="2">
        <v>72000</v>
      </c>
      <c r="F251" s="3">
        <v>1.1125</v>
      </c>
      <c r="G251" s="2">
        <v>2403</v>
      </c>
      <c r="H251" s="2">
        <v>82503</v>
      </c>
      <c r="I251">
        <v>0</v>
      </c>
      <c r="J251" s="2">
        <v>80100</v>
      </c>
      <c r="K251">
        <v>0</v>
      </c>
      <c r="L251" s="2">
        <v>80100</v>
      </c>
      <c r="M251" s="1">
        <v>0</v>
      </c>
      <c r="N251" s="1">
        <v>0</v>
      </c>
    </row>
    <row r="252" spans="1:14" x14ac:dyDescent="0.3">
      <c r="A252" t="str">
        <v>E0251</v>
      </c>
      <c r="B252" t="str">
        <v>Administration</v>
      </c>
      <c r="C252" t="str">
        <v>Administrative Coordinator</v>
      </c>
      <c r="D252" s="2">
        <v>51400</v>
      </c>
      <c r="E252" s="2">
        <v>58000</v>
      </c>
      <c r="F252" s="3">
        <v>0.88620689655172413</v>
      </c>
      <c r="G252" s="2">
        <v>1542</v>
      </c>
      <c r="H252" s="2">
        <v>52942</v>
      </c>
      <c r="I252">
        <v>800</v>
      </c>
      <c r="J252" s="2">
        <v>52200</v>
      </c>
      <c r="K252">
        <v>3700</v>
      </c>
      <c r="L252" s="2">
        <v>55100</v>
      </c>
      <c r="M252" s="1">
        <v>1</v>
      </c>
      <c r="N252" s="1">
        <v>1</v>
      </c>
    </row>
    <row r="253" spans="1:14" x14ac:dyDescent="0.3">
      <c r="A253" t="str">
        <v>E0252</v>
      </c>
      <c r="B253" t="str">
        <v>Policy &amp; Research</v>
      </c>
      <c r="C253" t="str">
        <v>Policy Analyst</v>
      </c>
      <c r="D253" s="2">
        <v>77000</v>
      </c>
      <c r="E253" s="2">
        <v>72000</v>
      </c>
      <c r="F253" s="3">
        <v>1.0694444444444444</v>
      </c>
      <c r="G253" s="2">
        <v>2310</v>
      </c>
      <c r="H253" s="2">
        <v>79310</v>
      </c>
      <c r="I253">
        <v>0</v>
      </c>
      <c r="J253" s="2">
        <v>77000</v>
      </c>
      <c r="K253">
        <v>0</v>
      </c>
      <c r="L253" s="2">
        <v>77000</v>
      </c>
      <c r="M253" s="1">
        <v>0</v>
      </c>
      <c r="N253" s="1">
        <v>0</v>
      </c>
    </row>
    <row r="254" spans="1:14" x14ac:dyDescent="0.3">
      <c r="A254" t="str">
        <v>E0253</v>
      </c>
      <c r="B254" t="str">
        <v>Administration</v>
      </c>
      <c r="C254" t="str">
        <v>Office Manager</v>
      </c>
      <c r="D254" s="2">
        <v>65700</v>
      </c>
      <c r="E254" s="2">
        <v>72000</v>
      </c>
      <c r="F254" s="3">
        <v>0.91249999999999998</v>
      </c>
      <c r="G254" s="2">
        <v>1971</v>
      </c>
      <c r="H254" s="2">
        <v>67671</v>
      </c>
      <c r="I254">
        <v>0</v>
      </c>
      <c r="J254" s="2">
        <v>65700</v>
      </c>
      <c r="K254">
        <v>2700</v>
      </c>
      <c r="L254" s="2">
        <v>68400</v>
      </c>
      <c r="M254" s="1">
        <v>0</v>
      </c>
      <c r="N254" s="1">
        <v>1</v>
      </c>
    </row>
    <row r="255" spans="1:14" x14ac:dyDescent="0.3">
      <c r="A255" t="str">
        <v>E0254</v>
      </c>
      <c r="B255" t="str">
        <v>Finance</v>
      </c>
      <c r="C255" t="str">
        <v>Financial Analyst</v>
      </c>
      <c r="D255" s="2">
        <v>58300</v>
      </c>
      <c r="E255" s="2">
        <v>70000</v>
      </c>
      <c r="F255" s="3">
        <v>0.83285714285714285</v>
      </c>
      <c r="G255" s="2">
        <v>1749</v>
      </c>
      <c r="H255" s="2">
        <v>60049</v>
      </c>
      <c r="I255">
        <v>4700</v>
      </c>
      <c r="J255" s="2">
        <v>63000</v>
      </c>
      <c r="K255">
        <v>8200</v>
      </c>
      <c r="L255" s="2">
        <v>66500</v>
      </c>
      <c r="M255" s="1">
        <v>1</v>
      </c>
      <c r="N255" s="1">
        <v>1</v>
      </c>
    </row>
    <row r="256" spans="1:14" x14ac:dyDescent="0.3">
      <c r="A256" t="str">
        <v>E0255</v>
      </c>
      <c r="B256" t="str">
        <v>Human Resources</v>
      </c>
      <c r="C256" t="str">
        <v>HR Analyst</v>
      </c>
      <c r="D256" s="2">
        <v>80600</v>
      </c>
      <c r="E256" s="2">
        <v>68000</v>
      </c>
      <c r="F256" s="3">
        <v>1.1852941176470588</v>
      </c>
      <c r="G256" s="2">
        <v>2418</v>
      </c>
      <c r="H256" s="2">
        <v>83018</v>
      </c>
      <c r="I256">
        <v>0</v>
      </c>
      <c r="J256" s="2">
        <v>80600</v>
      </c>
      <c r="K256">
        <v>0</v>
      </c>
      <c r="L256" s="2">
        <v>80600</v>
      </c>
      <c r="M256" s="1">
        <v>0</v>
      </c>
      <c r="N256" s="1">
        <v>0</v>
      </c>
    </row>
    <row r="257" spans="1:14" x14ac:dyDescent="0.3">
      <c r="A257" t="str">
        <v>E0256</v>
      </c>
      <c r="B257" t="str">
        <v>Operations</v>
      </c>
      <c r="C257" t="str">
        <v>Operations Assistant</v>
      </c>
      <c r="D257" s="2">
        <v>52200</v>
      </c>
      <c r="E257" s="2">
        <v>50000</v>
      </c>
      <c r="F257" s="3">
        <v>1.044</v>
      </c>
      <c r="G257" s="2">
        <v>1566</v>
      </c>
      <c r="H257" s="2">
        <v>53766</v>
      </c>
      <c r="I257">
        <v>0</v>
      </c>
      <c r="J257" s="2">
        <v>52200</v>
      </c>
      <c r="K257">
        <v>0</v>
      </c>
      <c r="L257" s="2">
        <v>52200</v>
      </c>
      <c r="M257" s="1">
        <v>0</v>
      </c>
      <c r="N257" s="1">
        <v>0</v>
      </c>
    </row>
    <row r="258" spans="1:14" x14ac:dyDescent="0.3">
      <c r="A258" t="str">
        <v>E0257</v>
      </c>
      <c r="B258" t="str">
        <v>Human Resources</v>
      </c>
      <c r="C258" t="str">
        <v>HR Advisor</v>
      </c>
      <c r="D258" s="2">
        <v>82100</v>
      </c>
      <c r="E258" s="2">
        <v>82000</v>
      </c>
      <c r="F258" s="3">
        <v>1.001219512195122</v>
      </c>
      <c r="G258" s="2">
        <v>2463</v>
      </c>
      <c r="H258" s="2">
        <v>84563</v>
      </c>
      <c r="I258">
        <v>0</v>
      </c>
      <c r="J258" s="2">
        <v>82100</v>
      </c>
      <c r="K258">
        <v>0</v>
      </c>
      <c r="L258" s="2">
        <v>82100</v>
      </c>
      <c r="M258" s="1">
        <v>0</v>
      </c>
      <c r="N258" s="1">
        <v>0</v>
      </c>
    </row>
    <row r="259" spans="1:14" x14ac:dyDescent="0.3">
      <c r="A259" t="str">
        <v>E0258</v>
      </c>
      <c r="B259" t="str">
        <v>Human Resources</v>
      </c>
      <c r="C259" t="str">
        <v>HR Advisor</v>
      </c>
      <c r="D259" s="2">
        <v>76300</v>
      </c>
      <c r="E259" s="2">
        <v>82000</v>
      </c>
      <c r="F259" s="3">
        <v>0.93048780487804883</v>
      </c>
      <c r="G259" s="2">
        <v>2289</v>
      </c>
      <c r="H259" s="2">
        <v>78589</v>
      </c>
      <c r="I259">
        <v>0</v>
      </c>
      <c r="J259" s="2">
        <v>76300</v>
      </c>
      <c r="K259">
        <v>1600</v>
      </c>
      <c r="L259" s="2">
        <v>77900</v>
      </c>
      <c r="M259" s="1">
        <v>0</v>
      </c>
      <c r="N259" s="1">
        <v>1</v>
      </c>
    </row>
    <row r="260" spans="1:14" x14ac:dyDescent="0.3">
      <c r="A260" t="str">
        <v>E0259</v>
      </c>
      <c r="B260" t="str">
        <v>Operations</v>
      </c>
      <c r="C260" t="str">
        <v>Operations Manager</v>
      </c>
      <c r="D260" s="2">
        <v>85400</v>
      </c>
      <c r="E260" s="2">
        <v>85000</v>
      </c>
      <c r="F260" s="3">
        <v>1.0047058823529411</v>
      </c>
      <c r="G260" s="2">
        <v>2562</v>
      </c>
      <c r="H260" s="2">
        <v>87962</v>
      </c>
      <c r="I260">
        <v>0</v>
      </c>
      <c r="J260" s="2">
        <v>85400</v>
      </c>
      <c r="K260">
        <v>0</v>
      </c>
      <c r="L260" s="2">
        <v>85400</v>
      </c>
      <c r="M260" s="1">
        <v>0</v>
      </c>
      <c r="N260" s="1">
        <v>0</v>
      </c>
    </row>
    <row r="261" spans="1:14" x14ac:dyDescent="0.3">
      <c r="A261" t="str">
        <v>E0260</v>
      </c>
      <c r="B261" t="str">
        <v>Policy &amp; Research</v>
      </c>
      <c r="C261" t="str">
        <v>Research Assistant</v>
      </c>
      <c r="D261" s="2">
        <v>49600</v>
      </c>
      <c r="E261" s="2">
        <v>52000</v>
      </c>
      <c r="F261" s="3">
        <v>0.9538461538461539</v>
      </c>
      <c r="G261" s="2">
        <v>1488</v>
      </c>
      <c r="H261" s="2">
        <v>51088</v>
      </c>
      <c r="I261">
        <v>0</v>
      </c>
      <c r="J261" s="2">
        <v>49600</v>
      </c>
      <c r="K261">
        <v>0</v>
      </c>
      <c r="L261" s="2">
        <v>49600</v>
      </c>
      <c r="M261" s="1">
        <v>0</v>
      </c>
      <c r="N261" s="1">
        <v>0</v>
      </c>
    </row>
    <row r="262" spans="1:14" x14ac:dyDescent="0.3">
      <c r="A262" t="str">
        <v>E0261</v>
      </c>
      <c r="B262" t="str">
        <v>Policy &amp; Research</v>
      </c>
      <c r="C262" t="str">
        <v>Policy Analyst</v>
      </c>
      <c r="D262" s="2">
        <v>77900</v>
      </c>
      <c r="E262" s="2">
        <v>72000</v>
      </c>
      <c r="F262" s="3">
        <v>1.0819444444444444</v>
      </c>
      <c r="G262" s="2">
        <v>2337</v>
      </c>
      <c r="H262" s="2">
        <v>80237</v>
      </c>
      <c r="I262">
        <v>0</v>
      </c>
      <c r="J262" s="2">
        <v>77900</v>
      </c>
      <c r="K262">
        <v>0</v>
      </c>
      <c r="L262" s="2">
        <v>77900</v>
      </c>
      <c r="M262" s="1">
        <v>0</v>
      </c>
      <c r="N262" s="1">
        <v>0</v>
      </c>
    </row>
    <row r="263" spans="1:14" x14ac:dyDescent="0.3">
      <c r="A263" t="str">
        <v>E0262</v>
      </c>
      <c r="B263" t="str">
        <v>Human Resources</v>
      </c>
      <c r="C263" t="str">
        <v>HR Assistant</v>
      </c>
      <c r="D263" s="2">
        <v>41800</v>
      </c>
      <c r="E263" s="2">
        <v>50000</v>
      </c>
      <c r="F263" s="3">
        <v>0.83599999999999997</v>
      </c>
      <c r="G263" s="2">
        <v>1254</v>
      </c>
      <c r="H263" s="2">
        <v>43054</v>
      </c>
      <c r="I263">
        <v>3200</v>
      </c>
      <c r="J263" s="2">
        <v>45000</v>
      </c>
      <c r="K263">
        <v>5700</v>
      </c>
      <c r="L263" s="2">
        <v>47500</v>
      </c>
      <c r="M263" s="1">
        <v>1</v>
      </c>
      <c r="N263" s="1">
        <v>1</v>
      </c>
    </row>
    <row r="264" spans="1:14" x14ac:dyDescent="0.3">
      <c r="A264" t="str">
        <v>E0263</v>
      </c>
      <c r="B264" t="str">
        <v>Human Resources</v>
      </c>
      <c r="C264" t="str">
        <v>HR Assistant</v>
      </c>
      <c r="D264" s="2">
        <v>50000</v>
      </c>
      <c r="E264" s="2">
        <v>50000</v>
      </c>
      <c r="F264" s="3">
        <v>1</v>
      </c>
      <c r="G264" s="2">
        <v>1500</v>
      </c>
      <c r="H264" s="2">
        <v>51500</v>
      </c>
      <c r="I264">
        <v>0</v>
      </c>
      <c r="J264" s="2">
        <v>50000</v>
      </c>
      <c r="K264">
        <v>0</v>
      </c>
      <c r="L264" s="2">
        <v>50000</v>
      </c>
      <c r="M264" s="1">
        <v>0</v>
      </c>
      <c r="N264" s="1">
        <v>0</v>
      </c>
    </row>
    <row r="265" spans="1:14" x14ac:dyDescent="0.3">
      <c r="A265" t="str">
        <v>E0264</v>
      </c>
      <c r="B265" t="str">
        <v>Finance</v>
      </c>
      <c r="C265" t="str">
        <v>Senior Financial Analyst</v>
      </c>
      <c r="D265" s="2">
        <v>91100</v>
      </c>
      <c r="E265" s="2">
        <v>88000</v>
      </c>
      <c r="F265" s="3">
        <v>1.0352272727272727</v>
      </c>
      <c r="G265" s="2">
        <v>2733</v>
      </c>
      <c r="H265" s="2">
        <v>93833</v>
      </c>
      <c r="I265">
        <v>0</v>
      </c>
      <c r="J265" s="2">
        <v>91100</v>
      </c>
      <c r="K265">
        <v>0</v>
      </c>
      <c r="L265" s="2">
        <v>91100</v>
      </c>
      <c r="M265" s="1">
        <v>0</v>
      </c>
      <c r="N265" s="1">
        <v>0</v>
      </c>
    </row>
    <row r="266" spans="1:14" x14ac:dyDescent="0.3">
      <c r="A266" t="str">
        <v>E0265</v>
      </c>
      <c r="B266" t="str">
        <v>Policy &amp; Research</v>
      </c>
      <c r="C266" t="str">
        <v>Senior Policy Analyst</v>
      </c>
      <c r="D266" s="2">
        <v>82200</v>
      </c>
      <c r="E266" s="2">
        <v>90000</v>
      </c>
      <c r="F266" s="3">
        <v>0.91333333333333333</v>
      </c>
      <c r="G266" s="2">
        <v>2466</v>
      </c>
      <c r="H266" s="2">
        <v>84666</v>
      </c>
      <c r="I266">
        <v>0</v>
      </c>
      <c r="J266" s="2">
        <v>82200</v>
      </c>
      <c r="K266">
        <v>3300</v>
      </c>
      <c r="L266" s="2">
        <v>85500</v>
      </c>
      <c r="M266" s="1">
        <v>0</v>
      </c>
      <c r="N266" s="1">
        <v>1</v>
      </c>
    </row>
    <row r="267" spans="1:14" x14ac:dyDescent="0.3">
      <c r="A267" t="str">
        <v>E0266</v>
      </c>
      <c r="B267" t="str">
        <v>Operations</v>
      </c>
      <c r="C267" t="str">
        <v>Operations Manager</v>
      </c>
      <c r="D267" s="2">
        <v>73700</v>
      </c>
      <c r="E267" s="2">
        <v>85000</v>
      </c>
      <c r="F267" s="3">
        <v>0.86705882352941177</v>
      </c>
      <c r="G267" s="2">
        <v>2211</v>
      </c>
      <c r="H267" s="2">
        <v>75911</v>
      </c>
      <c r="I267">
        <v>2800</v>
      </c>
      <c r="J267" s="2">
        <v>76500</v>
      </c>
      <c r="K267">
        <v>7050</v>
      </c>
      <c r="L267" s="2">
        <v>80750</v>
      </c>
      <c r="M267" s="1">
        <v>1</v>
      </c>
      <c r="N267" s="1">
        <v>1</v>
      </c>
    </row>
    <row r="268" spans="1:14" x14ac:dyDescent="0.3">
      <c r="A268" t="str">
        <v>E0267</v>
      </c>
      <c r="B268" t="str">
        <v>Operations</v>
      </c>
      <c r="C268" t="str">
        <v>Operations Assistant</v>
      </c>
      <c r="D268" s="2">
        <v>51600</v>
      </c>
      <c r="E268" s="2">
        <v>50000</v>
      </c>
      <c r="F268" s="3">
        <v>1.032</v>
      </c>
      <c r="G268" s="2">
        <v>1548</v>
      </c>
      <c r="H268" s="2">
        <v>53148</v>
      </c>
      <c r="I268">
        <v>0</v>
      </c>
      <c r="J268" s="2">
        <v>51600</v>
      </c>
      <c r="K268">
        <v>0</v>
      </c>
      <c r="L268" s="2">
        <v>51600</v>
      </c>
      <c r="M268" s="1">
        <v>0</v>
      </c>
      <c r="N268" s="1">
        <v>0</v>
      </c>
    </row>
    <row r="269" spans="1:14" x14ac:dyDescent="0.3">
      <c r="A269" t="str">
        <v>E0268</v>
      </c>
      <c r="B269" t="str">
        <v>Administration</v>
      </c>
      <c r="C269" t="str">
        <v>Administrative Assistant</v>
      </c>
      <c r="D269" s="2">
        <v>38500</v>
      </c>
      <c r="E269" s="2">
        <v>48000</v>
      </c>
      <c r="F269" s="3">
        <v>0.80208333333333337</v>
      </c>
      <c r="G269" s="2">
        <v>1155</v>
      </c>
      <c r="H269" s="2">
        <v>39655</v>
      </c>
      <c r="I269">
        <v>4700</v>
      </c>
      <c r="J269" s="2">
        <v>43200</v>
      </c>
      <c r="K269">
        <v>7100</v>
      </c>
      <c r="L269" s="2">
        <v>45600</v>
      </c>
      <c r="M269" s="1">
        <v>1</v>
      </c>
      <c r="N269" s="1">
        <v>1</v>
      </c>
    </row>
    <row r="270" spans="1:14" x14ac:dyDescent="0.3">
      <c r="A270" t="str">
        <v>E0269</v>
      </c>
      <c r="B270" t="str">
        <v>Finance</v>
      </c>
      <c r="C270" t="str">
        <v>Finance Assistant</v>
      </c>
      <c r="D270" s="2">
        <v>55600</v>
      </c>
      <c r="E270" s="2">
        <v>52000</v>
      </c>
      <c r="F270" s="3">
        <v>1.0692307692307692</v>
      </c>
      <c r="G270" s="2">
        <v>1668</v>
      </c>
      <c r="H270" s="2">
        <v>57268</v>
      </c>
      <c r="I270">
        <v>0</v>
      </c>
      <c r="J270" s="2">
        <v>55600</v>
      </c>
      <c r="K270">
        <v>0</v>
      </c>
      <c r="L270" s="2">
        <v>55600</v>
      </c>
      <c r="M270" s="1">
        <v>0</v>
      </c>
      <c r="N270" s="1">
        <v>0</v>
      </c>
    </row>
    <row r="271" spans="1:14" x14ac:dyDescent="0.3">
      <c r="A271" t="str">
        <v>E0270</v>
      </c>
      <c r="B271" t="str">
        <v>Information Technology</v>
      </c>
      <c r="C271" t="str">
        <v>Senior Systems Analyst</v>
      </c>
      <c r="D271" s="2">
        <v>90800</v>
      </c>
      <c r="E271" s="2">
        <v>98000</v>
      </c>
      <c r="F271" s="3">
        <v>0.92653061224489797</v>
      </c>
      <c r="G271" s="2">
        <v>2724</v>
      </c>
      <c r="H271" s="2">
        <v>93524</v>
      </c>
      <c r="I271">
        <v>0</v>
      </c>
      <c r="J271" s="2">
        <v>90800</v>
      </c>
      <c r="K271">
        <v>2300</v>
      </c>
      <c r="L271" s="2">
        <v>93100</v>
      </c>
      <c r="M271" s="1">
        <v>0</v>
      </c>
      <c r="N271" s="1">
        <v>1</v>
      </c>
    </row>
    <row r="272" spans="1:14" x14ac:dyDescent="0.3">
      <c r="A272" t="str">
        <v>E0271</v>
      </c>
      <c r="B272" t="str">
        <v>Information Technology</v>
      </c>
      <c r="C272" t="str">
        <v>Systems Analyst</v>
      </c>
      <c r="D272" s="2">
        <v>71300</v>
      </c>
      <c r="E272" s="2">
        <v>78000</v>
      </c>
      <c r="F272" s="3">
        <v>0.91410256410256407</v>
      </c>
      <c r="G272" s="2">
        <v>2139</v>
      </c>
      <c r="H272" s="2">
        <v>73439</v>
      </c>
      <c r="I272">
        <v>0</v>
      </c>
      <c r="J272" s="2">
        <v>71300</v>
      </c>
      <c r="K272">
        <v>2800</v>
      </c>
      <c r="L272" s="2">
        <v>74100</v>
      </c>
      <c r="M272" s="1">
        <v>0</v>
      </c>
      <c r="N272" s="1">
        <v>1</v>
      </c>
    </row>
    <row r="273" spans="1:14" x14ac:dyDescent="0.3">
      <c r="A273" t="str">
        <v>E0272</v>
      </c>
      <c r="B273" t="str">
        <v>Finance</v>
      </c>
      <c r="C273" t="str">
        <v>Financial Analyst</v>
      </c>
      <c r="D273" s="2">
        <v>67700</v>
      </c>
      <c r="E273" s="2">
        <v>70000</v>
      </c>
      <c r="F273" s="3">
        <v>0.96714285714285719</v>
      </c>
      <c r="G273" s="2">
        <v>2031</v>
      </c>
      <c r="H273" s="2">
        <v>69731</v>
      </c>
      <c r="I273">
        <v>0</v>
      </c>
      <c r="J273" s="2">
        <v>67700</v>
      </c>
      <c r="K273">
        <v>0</v>
      </c>
      <c r="L273" s="2">
        <v>67700</v>
      </c>
      <c r="M273" s="1">
        <v>0</v>
      </c>
      <c r="N273" s="1">
        <v>0</v>
      </c>
    </row>
    <row r="274" spans="1:14" x14ac:dyDescent="0.3">
      <c r="A274" t="str">
        <v>E0273</v>
      </c>
      <c r="B274" t="str">
        <v>Human Resources</v>
      </c>
      <c r="C274" t="str">
        <v>HR Analyst</v>
      </c>
      <c r="D274" s="2">
        <v>60600</v>
      </c>
      <c r="E274" s="2">
        <v>68000</v>
      </c>
      <c r="F274" s="3">
        <v>0.89117647058823535</v>
      </c>
      <c r="G274" s="2">
        <v>1818</v>
      </c>
      <c r="H274" s="2">
        <v>62418</v>
      </c>
      <c r="I274">
        <v>600</v>
      </c>
      <c r="J274" s="2">
        <v>61200</v>
      </c>
      <c r="K274">
        <v>4000</v>
      </c>
      <c r="L274" s="2">
        <v>64600</v>
      </c>
      <c r="M274" s="1">
        <v>1</v>
      </c>
      <c r="N274" s="1">
        <v>1</v>
      </c>
    </row>
    <row r="275" spans="1:14" x14ac:dyDescent="0.3">
      <c r="A275" t="str">
        <v>E0274</v>
      </c>
      <c r="B275" t="str">
        <v>Human Resources</v>
      </c>
      <c r="C275" t="str">
        <v>HR Advisor</v>
      </c>
      <c r="D275" s="2">
        <v>93600</v>
      </c>
      <c r="E275" s="2">
        <v>82000</v>
      </c>
      <c r="F275" s="3">
        <v>1.1414634146341462</v>
      </c>
      <c r="G275" s="2">
        <v>2808</v>
      </c>
      <c r="H275" s="2">
        <v>96408</v>
      </c>
      <c r="I275">
        <v>0</v>
      </c>
      <c r="J275" s="2">
        <v>93600</v>
      </c>
      <c r="K275">
        <v>0</v>
      </c>
      <c r="L275" s="2">
        <v>93600</v>
      </c>
      <c r="M275" s="1">
        <v>0</v>
      </c>
      <c r="N275" s="1">
        <v>0</v>
      </c>
    </row>
    <row r="276" spans="1:14" x14ac:dyDescent="0.3">
      <c r="A276" t="str">
        <v>E0275</v>
      </c>
      <c r="B276" t="str">
        <v>Policy &amp; Research</v>
      </c>
      <c r="C276" t="str">
        <v>Senior Policy Analyst</v>
      </c>
      <c r="D276" s="2">
        <v>99600</v>
      </c>
      <c r="E276" s="2">
        <v>90000</v>
      </c>
      <c r="F276" s="3">
        <v>1.1066666666666667</v>
      </c>
      <c r="G276" s="2">
        <v>2988</v>
      </c>
      <c r="H276" s="2">
        <v>102588</v>
      </c>
      <c r="I276">
        <v>0</v>
      </c>
      <c r="J276" s="2">
        <v>99600</v>
      </c>
      <c r="K276">
        <v>0</v>
      </c>
      <c r="L276" s="2">
        <v>99600</v>
      </c>
      <c r="M276" s="1">
        <v>0</v>
      </c>
      <c r="N276" s="1">
        <v>0</v>
      </c>
    </row>
    <row r="277" spans="1:14" x14ac:dyDescent="0.3">
      <c r="A277" t="str">
        <v>E0276</v>
      </c>
      <c r="B277" t="str">
        <v>Finance</v>
      </c>
      <c r="C277" t="str">
        <v>Senior Financial Analyst</v>
      </c>
      <c r="D277" s="2">
        <v>83000</v>
      </c>
      <c r="E277" s="2">
        <v>88000</v>
      </c>
      <c r="F277" s="3">
        <v>0.94318181818181823</v>
      </c>
      <c r="G277" s="2">
        <v>2490</v>
      </c>
      <c r="H277" s="2">
        <v>85490</v>
      </c>
      <c r="I277">
        <v>0</v>
      </c>
      <c r="J277" s="2">
        <v>83000</v>
      </c>
      <c r="K277">
        <v>600</v>
      </c>
      <c r="L277" s="2">
        <v>83600</v>
      </c>
      <c r="M277" s="1">
        <v>0</v>
      </c>
      <c r="N277" s="1">
        <v>1</v>
      </c>
    </row>
    <row r="278" spans="1:14" x14ac:dyDescent="0.3">
      <c r="A278" t="str">
        <v>E0277</v>
      </c>
      <c r="B278" t="str">
        <v>Policy &amp; Research</v>
      </c>
      <c r="C278" t="str">
        <v>Research Assistant</v>
      </c>
      <c r="D278" s="2">
        <v>51700</v>
      </c>
      <c r="E278" s="2">
        <v>52000</v>
      </c>
      <c r="F278" s="3">
        <v>0.99423076923076925</v>
      </c>
      <c r="G278" s="2">
        <v>1551</v>
      </c>
      <c r="H278" s="2">
        <v>53251</v>
      </c>
      <c r="I278">
        <v>0</v>
      </c>
      <c r="J278" s="2">
        <v>51700</v>
      </c>
      <c r="K278">
        <v>0</v>
      </c>
      <c r="L278" s="2">
        <v>51700</v>
      </c>
      <c r="M278" s="1">
        <v>0</v>
      </c>
      <c r="N278" s="1">
        <v>0</v>
      </c>
    </row>
    <row r="279" spans="1:14" x14ac:dyDescent="0.3">
      <c r="A279" t="str">
        <v>E0278</v>
      </c>
      <c r="B279" t="str">
        <v>Policy &amp; Research</v>
      </c>
      <c r="C279" t="str">
        <v>Senior Policy Analyst</v>
      </c>
      <c r="D279" s="2">
        <v>81000</v>
      </c>
      <c r="E279" s="2">
        <v>90000</v>
      </c>
      <c r="F279" s="3">
        <v>0.9</v>
      </c>
      <c r="G279" s="2">
        <v>2430</v>
      </c>
      <c r="H279" s="2">
        <v>83430</v>
      </c>
      <c r="I279">
        <v>0</v>
      </c>
      <c r="J279" s="2">
        <v>81000</v>
      </c>
      <c r="K279">
        <v>4500</v>
      </c>
      <c r="L279" s="2">
        <v>85500</v>
      </c>
      <c r="M279" s="1">
        <v>0</v>
      </c>
      <c r="N279" s="1">
        <v>1</v>
      </c>
    </row>
    <row r="280" spans="1:14" x14ac:dyDescent="0.3">
      <c r="A280" t="str">
        <v>E0279</v>
      </c>
      <c r="B280" t="str">
        <v>Operations</v>
      </c>
      <c r="C280" t="str">
        <v>Operations Analyst</v>
      </c>
      <c r="D280" s="2">
        <v>69000</v>
      </c>
      <c r="E280" s="2">
        <v>68000</v>
      </c>
      <c r="F280" s="3">
        <v>1.0147058823529411</v>
      </c>
      <c r="G280" s="2">
        <v>2070</v>
      </c>
      <c r="H280" s="2">
        <v>71070</v>
      </c>
      <c r="I280">
        <v>0</v>
      </c>
      <c r="J280" s="2">
        <v>69000</v>
      </c>
      <c r="K280">
        <v>0</v>
      </c>
      <c r="L280" s="2">
        <v>69000</v>
      </c>
      <c r="M280" s="1">
        <v>0</v>
      </c>
      <c r="N280" s="1">
        <v>0</v>
      </c>
    </row>
    <row r="281" spans="1:14" x14ac:dyDescent="0.3">
      <c r="A281" t="str">
        <v>E0280</v>
      </c>
      <c r="B281" t="str">
        <v>Policy &amp; Research</v>
      </c>
      <c r="C281" t="str">
        <v>Senior Policy Analyst</v>
      </c>
      <c r="D281" s="2">
        <v>84600</v>
      </c>
      <c r="E281" s="2">
        <v>90000</v>
      </c>
      <c r="F281" s="3">
        <v>0.94</v>
      </c>
      <c r="G281" s="2">
        <v>2538</v>
      </c>
      <c r="H281" s="2">
        <v>87138</v>
      </c>
      <c r="I281">
        <v>0</v>
      </c>
      <c r="J281" s="2">
        <v>84600</v>
      </c>
      <c r="K281">
        <v>900</v>
      </c>
      <c r="L281" s="2">
        <v>85500</v>
      </c>
      <c r="M281" s="1">
        <v>0</v>
      </c>
      <c r="N281" s="1">
        <v>1</v>
      </c>
    </row>
    <row r="282" spans="1:14" x14ac:dyDescent="0.3">
      <c r="A282" t="str">
        <v>E0281</v>
      </c>
      <c r="B282" t="str">
        <v>Administration</v>
      </c>
      <c r="C282" t="str">
        <v>Administrative Assistant</v>
      </c>
      <c r="D282" s="2">
        <v>51200</v>
      </c>
      <c r="E282" s="2">
        <v>48000</v>
      </c>
      <c r="F282" s="3">
        <v>1.0666666666666667</v>
      </c>
      <c r="G282" s="2">
        <v>1536</v>
      </c>
      <c r="H282" s="2">
        <v>52736</v>
      </c>
      <c r="I282">
        <v>0</v>
      </c>
      <c r="J282" s="2">
        <v>51200</v>
      </c>
      <c r="K282">
        <v>0</v>
      </c>
      <c r="L282" s="2">
        <v>51200</v>
      </c>
      <c r="M282" s="1">
        <v>0</v>
      </c>
      <c r="N282" s="1">
        <v>0</v>
      </c>
    </row>
    <row r="283" spans="1:14" x14ac:dyDescent="0.3">
      <c r="A283" t="str">
        <v>E0282</v>
      </c>
      <c r="B283" t="str">
        <v>Finance</v>
      </c>
      <c r="C283" t="str">
        <v>Finance Assistant</v>
      </c>
      <c r="D283" s="2">
        <v>44600</v>
      </c>
      <c r="E283" s="2">
        <v>52000</v>
      </c>
      <c r="F283" s="3">
        <v>0.85769230769230764</v>
      </c>
      <c r="G283" s="2">
        <v>1338</v>
      </c>
      <c r="H283" s="2">
        <v>45938</v>
      </c>
      <c r="I283">
        <v>2200</v>
      </c>
      <c r="J283" s="2">
        <v>46800</v>
      </c>
      <c r="K283">
        <v>4800</v>
      </c>
      <c r="L283" s="2">
        <v>49400</v>
      </c>
      <c r="M283" s="1">
        <v>1</v>
      </c>
      <c r="N283" s="1">
        <v>1</v>
      </c>
    </row>
    <row r="284" spans="1:14" x14ac:dyDescent="0.3">
      <c r="A284" t="str">
        <v>E0283</v>
      </c>
      <c r="B284" t="str">
        <v>Administration</v>
      </c>
      <c r="C284" t="str">
        <v>Administrative Coordinator</v>
      </c>
      <c r="D284" s="2">
        <v>48000</v>
      </c>
      <c r="E284" s="2">
        <v>58000</v>
      </c>
      <c r="F284" s="3">
        <v>0.82758620689655171</v>
      </c>
      <c r="G284" s="2">
        <v>1440</v>
      </c>
      <c r="H284" s="2">
        <v>49440</v>
      </c>
      <c r="I284">
        <v>4200</v>
      </c>
      <c r="J284" s="2">
        <v>52200</v>
      </c>
      <c r="K284">
        <v>7100</v>
      </c>
      <c r="L284" s="2">
        <v>55100</v>
      </c>
      <c r="M284" s="1">
        <v>1</v>
      </c>
      <c r="N284" s="1">
        <v>1</v>
      </c>
    </row>
    <row r="285" spans="1:14" x14ac:dyDescent="0.3">
      <c r="A285" t="str">
        <v>E0284</v>
      </c>
      <c r="B285" t="str">
        <v>Administration</v>
      </c>
      <c r="C285" t="str">
        <v>Administrative Assistant</v>
      </c>
      <c r="D285" s="2">
        <v>46300</v>
      </c>
      <c r="E285" s="2">
        <v>48000</v>
      </c>
      <c r="F285" s="3">
        <v>0.96458333333333335</v>
      </c>
      <c r="G285" s="2">
        <v>1389</v>
      </c>
      <c r="H285" s="2">
        <v>47689</v>
      </c>
      <c r="I285">
        <v>0</v>
      </c>
      <c r="J285" s="2">
        <v>46300</v>
      </c>
      <c r="K285">
        <v>0</v>
      </c>
      <c r="L285" s="2">
        <v>46300</v>
      </c>
      <c r="M285" s="1">
        <v>0</v>
      </c>
      <c r="N285" s="1">
        <v>0</v>
      </c>
    </row>
    <row r="286" spans="1:14" x14ac:dyDescent="0.3">
      <c r="A286" t="str">
        <v>E0285</v>
      </c>
      <c r="B286" t="str">
        <v>Human Resources</v>
      </c>
      <c r="C286" t="str">
        <v>HR Analyst</v>
      </c>
      <c r="D286" s="2">
        <v>58200</v>
      </c>
      <c r="E286" s="2">
        <v>68000</v>
      </c>
      <c r="F286" s="3">
        <v>0.85588235294117643</v>
      </c>
      <c r="G286" s="2">
        <v>1746</v>
      </c>
      <c r="H286" s="2">
        <v>59946</v>
      </c>
      <c r="I286">
        <v>3000</v>
      </c>
      <c r="J286" s="2">
        <v>61200</v>
      </c>
      <c r="K286">
        <v>6400</v>
      </c>
      <c r="L286" s="2">
        <v>64600</v>
      </c>
      <c r="M286" s="1">
        <v>1</v>
      </c>
      <c r="N286" s="1">
        <v>1</v>
      </c>
    </row>
    <row r="287" spans="1:14" x14ac:dyDescent="0.3">
      <c r="A287" t="str">
        <v>E0286</v>
      </c>
      <c r="B287" t="str">
        <v>Policy &amp; Research</v>
      </c>
      <c r="C287" t="str">
        <v>Policy Analyst</v>
      </c>
      <c r="D287" s="2">
        <v>70700</v>
      </c>
      <c r="E287" s="2">
        <v>72000</v>
      </c>
      <c r="F287" s="3">
        <v>0.9819444444444444</v>
      </c>
      <c r="G287" s="2">
        <v>2121</v>
      </c>
      <c r="H287" s="2">
        <v>72821</v>
      </c>
      <c r="I287">
        <v>0</v>
      </c>
      <c r="J287" s="2">
        <v>70700</v>
      </c>
      <c r="K287">
        <v>0</v>
      </c>
      <c r="L287" s="2">
        <v>70700</v>
      </c>
      <c r="M287" s="1">
        <v>0</v>
      </c>
      <c r="N287" s="1">
        <v>0</v>
      </c>
    </row>
    <row r="288" spans="1:14" x14ac:dyDescent="0.3">
      <c r="A288" t="str">
        <v>E0287</v>
      </c>
      <c r="B288" t="str">
        <v>Administration</v>
      </c>
      <c r="C288" t="str">
        <v>Administrative Coordinator</v>
      </c>
      <c r="D288" s="2">
        <v>46800</v>
      </c>
      <c r="E288" s="2">
        <v>58000</v>
      </c>
      <c r="F288" s="3">
        <v>0.80689655172413788</v>
      </c>
      <c r="G288" s="2">
        <v>1404</v>
      </c>
      <c r="H288" s="2">
        <v>48204</v>
      </c>
      <c r="I288">
        <v>5400</v>
      </c>
      <c r="J288" s="2">
        <v>52200</v>
      </c>
      <c r="K288">
        <v>8300</v>
      </c>
      <c r="L288" s="2">
        <v>55100</v>
      </c>
      <c r="M288" s="1">
        <v>1</v>
      </c>
      <c r="N288" s="1">
        <v>1</v>
      </c>
    </row>
    <row r="289" spans="1:14" x14ac:dyDescent="0.3">
      <c r="A289" t="str">
        <v>E0288</v>
      </c>
      <c r="B289" t="str">
        <v>Administration</v>
      </c>
      <c r="C289" t="str">
        <v>Administrative Coordinator</v>
      </c>
      <c r="D289" s="2">
        <v>58600</v>
      </c>
      <c r="E289" s="2">
        <v>58000</v>
      </c>
      <c r="F289" s="3">
        <v>1.0103448275862068</v>
      </c>
      <c r="G289" s="2">
        <v>1758</v>
      </c>
      <c r="H289" s="2">
        <v>60358</v>
      </c>
      <c r="I289">
        <v>0</v>
      </c>
      <c r="J289" s="2">
        <v>58600</v>
      </c>
      <c r="K289">
        <v>0</v>
      </c>
      <c r="L289" s="2">
        <v>58600</v>
      </c>
      <c r="M289" s="1">
        <v>0</v>
      </c>
      <c r="N289" s="1">
        <v>0</v>
      </c>
    </row>
    <row r="290" spans="1:14" x14ac:dyDescent="0.3">
      <c r="A290" t="str">
        <v>E0289</v>
      </c>
      <c r="B290" t="str">
        <v>Operations</v>
      </c>
      <c r="C290" t="str">
        <v>Operations Analyst</v>
      </c>
      <c r="D290" s="2">
        <v>60300</v>
      </c>
      <c r="E290" s="2">
        <v>68000</v>
      </c>
      <c r="F290" s="3">
        <v>0.8867647058823529</v>
      </c>
      <c r="G290" s="2">
        <v>1809</v>
      </c>
      <c r="H290" s="2">
        <v>62109</v>
      </c>
      <c r="I290">
        <v>900</v>
      </c>
      <c r="J290" s="2">
        <v>61200</v>
      </c>
      <c r="K290">
        <v>4300</v>
      </c>
      <c r="L290" s="2">
        <v>64600</v>
      </c>
      <c r="M290" s="1">
        <v>1</v>
      </c>
      <c r="N290" s="1">
        <v>1</v>
      </c>
    </row>
    <row r="291" spans="1:14" x14ac:dyDescent="0.3">
      <c r="A291" t="str">
        <v>E0290</v>
      </c>
      <c r="B291" t="str">
        <v>Policy &amp; Research</v>
      </c>
      <c r="C291" t="str">
        <v>Research Assistant</v>
      </c>
      <c r="D291" s="2">
        <v>54600</v>
      </c>
      <c r="E291" s="2">
        <v>52000</v>
      </c>
      <c r="F291" s="3">
        <v>1.05</v>
      </c>
      <c r="G291" s="2">
        <v>1638</v>
      </c>
      <c r="H291" s="2">
        <v>56238</v>
      </c>
      <c r="I291">
        <v>0</v>
      </c>
      <c r="J291" s="2">
        <v>54600</v>
      </c>
      <c r="K291">
        <v>0</v>
      </c>
      <c r="L291" s="2">
        <v>54600</v>
      </c>
      <c r="M291" s="1">
        <v>0</v>
      </c>
      <c r="N291" s="1">
        <v>0</v>
      </c>
    </row>
    <row r="292" spans="1:14" x14ac:dyDescent="0.3">
      <c r="A292" t="str">
        <v>E0291</v>
      </c>
      <c r="B292" t="str">
        <v>Operations</v>
      </c>
      <c r="C292" t="str">
        <v>Operations Analyst</v>
      </c>
      <c r="D292" s="2">
        <v>70700</v>
      </c>
      <c r="E292" s="2">
        <v>68000</v>
      </c>
      <c r="F292" s="3">
        <v>1.0397058823529413</v>
      </c>
      <c r="G292" s="2">
        <v>2121</v>
      </c>
      <c r="H292" s="2">
        <v>72821</v>
      </c>
      <c r="I292">
        <v>0</v>
      </c>
      <c r="J292" s="2">
        <v>70700</v>
      </c>
      <c r="K292">
        <v>0</v>
      </c>
      <c r="L292" s="2">
        <v>70700</v>
      </c>
      <c r="M292" s="1">
        <v>0</v>
      </c>
      <c r="N292" s="1">
        <v>0</v>
      </c>
    </row>
    <row r="293" spans="1:14" x14ac:dyDescent="0.3">
      <c r="A293" t="str">
        <v>E0292</v>
      </c>
      <c r="B293" t="str">
        <v>Administration</v>
      </c>
      <c r="C293" t="str">
        <v>Administrative Assistant</v>
      </c>
      <c r="D293" s="2">
        <v>51700</v>
      </c>
      <c r="E293" s="2">
        <v>48000</v>
      </c>
      <c r="F293" s="3">
        <v>1.0770833333333334</v>
      </c>
      <c r="G293" s="2">
        <v>1551</v>
      </c>
      <c r="H293" s="2">
        <v>53251</v>
      </c>
      <c r="I293">
        <v>0</v>
      </c>
      <c r="J293" s="2">
        <v>51700</v>
      </c>
      <c r="K293">
        <v>0</v>
      </c>
      <c r="L293" s="2">
        <v>51700</v>
      </c>
      <c r="M293" s="1">
        <v>0</v>
      </c>
      <c r="N293" s="1">
        <v>0</v>
      </c>
    </row>
    <row r="294" spans="1:14" x14ac:dyDescent="0.3">
      <c r="A294" t="str">
        <v>E0293</v>
      </c>
      <c r="B294" t="str">
        <v>Human Resources</v>
      </c>
      <c r="C294" t="str">
        <v>HR Analyst</v>
      </c>
      <c r="D294" s="2">
        <v>64600</v>
      </c>
      <c r="E294" s="2">
        <v>68000</v>
      </c>
      <c r="F294" s="3">
        <v>0.95</v>
      </c>
      <c r="G294" s="2">
        <v>1938</v>
      </c>
      <c r="H294" s="2">
        <v>66538</v>
      </c>
      <c r="I294">
        <v>0</v>
      </c>
      <c r="J294" s="2">
        <v>64600</v>
      </c>
      <c r="K294">
        <v>0</v>
      </c>
      <c r="L294" s="2">
        <v>64600</v>
      </c>
      <c r="M294" s="1">
        <v>0</v>
      </c>
      <c r="N294" s="1">
        <v>0</v>
      </c>
    </row>
    <row r="295" spans="1:14" x14ac:dyDescent="0.3">
      <c r="A295" t="str">
        <v>E0294</v>
      </c>
      <c r="B295" t="str">
        <v>Operations</v>
      </c>
      <c r="C295" t="str">
        <v>Operations Assistant</v>
      </c>
      <c r="D295" s="2">
        <v>41700</v>
      </c>
      <c r="E295" s="2">
        <v>50000</v>
      </c>
      <c r="F295" s="3">
        <v>0.83399999999999996</v>
      </c>
      <c r="G295" s="2">
        <v>1251</v>
      </c>
      <c r="H295" s="2">
        <v>42951</v>
      </c>
      <c r="I295">
        <v>3300</v>
      </c>
      <c r="J295" s="2">
        <v>45000</v>
      </c>
      <c r="K295">
        <v>5800</v>
      </c>
      <c r="L295" s="2">
        <v>47500</v>
      </c>
      <c r="M295" s="1">
        <v>1</v>
      </c>
      <c r="N295" s="1">
        <v>1</v>
      </c>
    </row>
    <row r="296" spans="1:14" x14ac:dyDescent="0.3">
      <c r="A296" t="str">
        <v>E0295</v>
      </c>
      <c r="B296" t="str">
        <v>Finance</v>
      </c>
      <c r="C296" t="str">
        <v>Finance Assistant</v>
      </c>
      <c r="D296" s="2">
        <v>47000</v>
      </c>
      <c r="E296" s="2">
        <v>52000</v>
      </c>
      <c r="F296" s="3">
        <v>0.90384615384615385</v>
      </c>
      <c r="G296" s="2">
        <v>1410</v>
      </c>
      <c r="H296" s="2">
        <v>48410</v>
      </c>
      <c r="I296">
        <v>0</v>
      </c>
      <c r="J296" s="2">
        <v>47000</v>
      </c>
      <c r="K296">
        <v>2400</v>
      </c>
      <c r="L296" s="2">
        <v>49400</v>
      </c>
      <c r="M296" s="1">
        <v>0</v>
      </c>
      <c r="N296" s="1">
        <v>1</v>
      </c>
    </row>
    <row r="297" spans="1:14" x14ac:dyDescent="0.3">
      <c r="A297" t="str">
        <v>E0296</v>
      </c>
      <c r="B297" t="str">
        <v>Finance</v>
      </c>
      <c r="C297" t="str">
        <v>Financial Analyst</v>
      </c>
      <c r="D297" s="2">
        <v>74000</v>
      </c>
      <c r="E297" s="2">
        <v>70000</v>
      </c>
      <c r="F297" s="3">
        <v>1.0571428571428572</v>
      </c>
      <c r="G297" s="2">
        <v>2220</v>
      </c>
      <c r="H297" s="2">
        <v>76220</v>
      </c>
      <c r="I297">
        <v>0</v>
      </c>
      <c r="J297" s="2">
        <v>74000</v>
      </c>
      <c r="K297">
        <v>0</v>
      </c>
      <c r="L297" s="2">
        <v>74000</v>
      </c>
      <c r="M297" s="1">
        <v>0</v>
      </c>
      <c r="N297" s="1">
        <v>0</v>
      </c>
    </row>
    <row r="298" spans="1:14" x14ac:dyDescent="0.3">
      <c r="A298" t="str">
        <v>E0297</v>
      </c>
      <c r="B298" t="str">
        <v>Finance</v>
      </c>
      <c r="C298" t="str">
        <v>Financial Analyst</v>
      </c>
      <c r="D298" s="2">
        <v>76300</v>
      </c>
      <c r="E298" s="2">
        <v>70000</v>
      </c>
      <c r="F298" s="3">
        <v>1.0900000000000001</v>
      </c>
      <c r="G298" s="2">
        <v>2289</v>
      </c>
      <c r="H298" s="2">
        <v>78589</v>
      </c>
      <c r="I298">
        <v>0</v>
      </c>
      <c r="J298" s="2">
        <v>76300</v>
      </c>
      <c r="K298">
        <v>0</v>
      </c>
      <c r="L298" s="2">
        <v>76300</v>
      </c>
      <c r="M298" s="1">
        <v>0</v>
      </c>
      <c r="N298" s="1">
        <v>0</v>
      </c>
    </row>
    <row r="299" spans="1:14" x14ac:dyDescent="0.3">
      <c r="A299" t="str">
        <v>E0298</v>
      </c>
      <c r="B299" t="str">
        <v>Operations</v>
      </c>
      <c r="C299" t="str">
        <v>Operations Assistant</v>
      </c>
      <c r="D299" s="2">
        <v>52100</v>
      </c>
      <c r="E299" s="2">
        <v>50000</v>
      </c>
      <c r="F299" s="3">
        <v>1.042</v>
      </c>
      <c r="G299" s="2">
        <v>1563</v>
      </c>
      <c r="H299" s="2">
        <v>53663</v>
      </c>
      <c r="I299">
        <v>0</v>
      </c>
      <c r="J299" s="2">
        <v>52100</v>
      </c>
      <c r="K299">
        <v>0</v>
      </c>
      <c r="L299" s="2">
        <v>52100</v>
      </c>
      <c r="M299" s="1">
        <v>0</v>
      </c>
      <c r="N299" s="1">
        <v>0</v>
      </c>
    </row>
    <row r="300" spans="1:14" x14ac:dyDescent="0.3">
      <c r="A300" t="str">
        <v>E0299</v>
      </c>
      <c r="B300" t="str">
        <v>Administration</v>
      </c>
      <c r="C300" t="str">
        <v>Administrative Coordinator</v>
      </c>
      <c r="D300" s="2">
        <v>60300</v>
      </c>
      <c r="E300" s="2">
        <v>58000</v>
      </c>
      <c r="F300" s="3">
        <v>1.039655172413793</v>
      </c>
      <c r="G300" s="2">
        <v>1809</v>
      </c>
      <c r="H300" s="2">
        <v>62109</v>
      </c>
      <c r="I300">
        <v>0</v>
      </c>
      <c r="J300" s="2">
        <v>60300</v>
      </c>
      <c r="K300">
        <v>0</v>
      </c>
      <c r="L300" s="2">
        <v>60300</v>
      </c>
      <c r="M300" s="1">
        <v>0</v>
      </c>
      <c r="N300" s="1">
        <v>0</v>
      </c>
    </row>
    <row r="301" spans="1:14" x14ac:dyDescent="0.3">
      <c r="A301" t="str">
        <v>E0300</v>
      </c>
      <c r="B301" t="str">
        <v>Operations</v>
      </c>
      <c r="C301" t="str">
        <v>Operations Manager</v>
      </c>
      <c r="D301" s="2">
        <v>86100</v>
      </c>
      <c r="E301" s="2">
        <v>85000</v>
      </c>
      <c r="F301" s="3">
        <v>1.0129411764705882</v>
      </c>
      <c r="G301" s="2">
        <v>2583</v>
      </c>
      <c r="H301" s="2">
        <v>88683</v>
      </c>
      <c r="I301">
        <v>0</v>
      </c>
      <c r="J301" s="2">
        <v>86100</v>
      </c>
      <c r="K301">
        <v>0</v>
      </c>
      <c r="L301" s="2">
        <v>86100</v>
      </c>
      <c r="M301" s="1">
        <v>0</v>
      </c>
      <c r="N301" s="1">
        <v>0</v>
      </c>
    </row>
    <row r="302" spans="1:14" x14ac:dyDescent="0.3">
      <c r="A302" t="str">
        <v>E0301</v>
      </c>
      <c r="B302" t="str">
        <v>Information Technology</v>
      </c>
      <c r="C302" t="str">
        <v>Systems Analyst</v>
      </c>
      <c r="D302" s="2">
        <v>72400</v>
      </c>
      <c r="E302" s="2">
        <v>78000</v>
      </c>
      <c r="F302" s="3">
        <v>0.92820512820512824</v>
      </c>
      <c r="G302" s="2">
        <v>2172</v>
      </c>
      <c r="H302" s="2">
        <v>74572</v>
      </c>
      <c r="I302">
        <v>0</v>
      </c>
      <c r="J302" s="2">
        <v>72400</v>
      </c>
      <c r="K302">
        <v>1700</v>
      </c>
      <c r="L302" s="2">
        <v>74100</v>
      </c>
      <c r="M302" s="1">
        <v>0</v>
      </c>
      <c r="N302" s="1">
        <v>1</v>
      </c>
    </row>
    <row r="303" spans="1:14" x14ac:dyDescent="0.3">
      <c r="A303" t="str">
        <v>E0302</v>
      </c>
      <c r="B303" t="str">
        <v>Finance</v>
      </c>
      <c r="C303" t="str">
        <v>Financial Analyst</v>
      </c>
      <c r="D303" s="2">
        <v>58000</v>
      </c>
      <c r="E303" s="2">
        <v>70000</v>
      </c>
      <c r="F303" s="3">
        <v>0.82857142857142863</v>
      </c>
      <c r="G303" s="2">
        <v>1740</v>
      </c>
      <c r="H303" s="2">
        <v>59740</v>
      </c>
      <c r="I303">
        <v>5000</v>
      </c>
      <c r="J303" s="2">
        <v>63000</v>
      </c>
      <c r="K303">
        <v>8500</v>
      </c>
      <c r="L303" s="2">
        <v>66500</v>
      </c>
      <c r="M303" s="1">
        <v>1</v>
      </c>
      <c r="N303" s="1">
        <v>1</v>
      </c>
    </row>
    <row r="304" spans="1:14" x14ac:dyDescent="0.3">
      <c r="A304" t="str">
        <v>E0303</v>
      </c>
      <c r="B304" t="str">
        <v>Policy &amp; Research</v>
      </c>
      <c r="C304" t="str">
        <v>Research Assistant</v>
      </c>
      <c r="D304" s="2">
        <v>47600</v>
      </c>
      <c r="E304" s="2">
        <v>52000</v>
      </c>
      <c r="F304" s="3">
        <v>0.91538461538461535</v>
      </c>
      <c r="G304" s="2">
        <v>1428</v>
      </c>
      <c r="H304" s="2">
        <v>49028</v>
      </c>
      <c r="I304">
        <v>0</v>
      </c>
      <c r="J304" s="2">
        <v>47600</v>
      </c>
      <c r="K304">
        <v>1800</v>
      </c>
      <c r="L304" s="2">
        <v>49400</v>
      </c>
      <c r="M304" s="1">
        <v>0</v>
      </c>
      <c r="N304" s="1">
        <v>1</v>
      </c>
    </row>
    <row r="305" spans="1:14" x14ac:dyDescent="0.3">
      <c r="A305" t="str">
        <v>E0304</v>
      </c>
      <c r="B305" t="str">
        <v>Policy &amp; Research</v>
      </c>
      <c r="C305" t="str">
        <v>Research Assistant</v>
      </c>
      <c r="D305" s="2">
        <v>38900</v>
      </c>
      <c r="E305" s="2">
        <v>52000</v>
      </c>
      <c r="F305" s="3">
        <v>0.74807692307692308</v>
      </c>
      <c r="G305" s="2">
        <v>1167</v>
      </c>
      <c r="H305" s="2">
        <v>40067</v>
      </c>
      <c r="I305">
        <v>7900</v>
      </c>
      <c r="J305" s="2">
        <v>46800</v>
      </c>
      <c r="K305">
        <v>10500</v>
      </c>
      <c r="L305" s="2">
        <v>49400</v>
      </c>
      <c r="M305" s="1">
        <v>1</v>
      </c>
      <c r="N305" s="1">
        <v>1</v>
      </c>
    </row>
    <row r="306" spans="1:14" x14ac:dyDescent="0.3">
      <c r="A306" t="str">
        <v>E0305</v>
      </c>
      <c r="B306" t="str">
        <v>Human Resources</v>
      </c>
      <c r="C306" t="str">
        <v>HR Analyst</v>
      </c>
      <c r="D306" s="2">
        <v>64900</v>
      </c>
      <c r="E306" s="2">
        <v>68000</v>
      </c>
      <c r="F306" s="3">
        <v>0.9544117647058824</v>
      </c>
      <c r="G306" s="2">
        <v>1947</v>
      </c>
      <c r="H306" s="2">
        <v>66847</v>
      </c>
      <c r="I306">
        <v>0</v>
      </c>
      <c r="J306" s="2">
        <v>64900</v>
      </c>
      <c r="K306">
        <v>0</v>
      </c>
      <c r="L306" s="2">
        <v>64900</v>
      </c>
      <c r="M306" s="1">
        <v>0</v>
      </c>
      <c r="N306" s="1">
        <v>0</v>
      </c>
    </row>
    <row r="307" spans="1:14" x14ac:dyDescent="0.3">
      <c r="A307" t="str">
        <v>E0306</v>
      </c>
      <c r="B307" t="str">
        <v>Finance</v>
      </c>
      <c r="C307" t="str">
        <v>Senior Financial Analyst</v>
      </c>
      <c r="D307" s="2">
        <v>84700</v>
      </c>
      <c r="E307" s="2">
        <v>88000</v>
      </c>
      <c r="F307" s="3">
        <v>0.96250000000000002</v>
      </c>
      <c r="G307" s="2">
        <v>2541</v>
      </c>
      <c r="H307" s="2">
        <v>87241</v>
      </c>
      <c r="I307">
        <v>0</v>
      </c>
      <c r="J307" s="2">
        <v>84700</v>
      </c>
      <c r="K307">
        <v>0</v>
      </c>
      <c r="L307" s="2">
        <v>84700</v>
      </c>
      <c r="M307" s="1">
        <v>0</v>
      </c>
      <c r="N307" s="1">
        <v>0</v>
      </c>
    </row>
    <row r="308" spans="1:14" x14ac:dyDescent="0.3">
      <c r="A308" t="str">
        <v>E0307</v>
      </c>
      <c r="B308" t="str">
        <v>Operations</v>
      </c>
      <c r="C308" t="str">
        <v>Operations Manager</v>
      </c>
      <c r="D308" s="2">
        <v>90000</v>
      </c>
      <c r="E308" s="2">
        <v>85000</v>
      </c>
      <c r="F308" s="3">
        <v>1.0588235294117647</v>
      </c>
      <c r="G308" s="2">
        <v>2700</v>
      </c>
      <c r="H308" s="2">
        <v>92700</v>
      </c>
      <c r="I308">
        <v>0</v>
      </c>
      <c r="J308" s="2">
        <v>90000</v>
      </c>
      <c r="K308">
        <v>0</v>
      </c>
      <c r="L308" s="2">
        <v>90000</v>
      </c>
      <c r="M308" s="1">
        <v>0</v>
      </c>
      <c r="N308" s="1">
        <v>0</v>
      </c>
    </row>
    <row r="309" spans="1:14" x14ac:dyDescent="0.3">
      <c r="A309" t="str">
        <v>E0308</v>
      </c>
      <c r="B309" t="str">
        <v>Finance</v>
      </c>
      <c r="C309" t="str">
        <v>Finance Assistant</v>
      </c>
      <c r="D309" s="2">
        <v>48800</v>
      </c>
      <c r="E309" s="2">
        <v>52000</v>
      </c>
      <c r="F309" s="3">
        <v>0.93846153846153846</v>
      </c>
      <c r="G309" s="2">
        <v>1464</v>
      </c>
      <c r="H309" s="2">
        <v>50264</v>
      </c>
      <c r="I309">
        <v>0</v>
      </c>
      <c r="J309" s="2">
        <v>48800</v>
      </c>
      <c r="K309">
        <v>600</v>
      </c>
      <c r="L309" s="2">
        <v>49400</v>
      </c>
      <c r="M309" s="1">
        <v>0</v>
      </c>
      <c r="N309" s="1">
        <v>1</v>
      </c>
    </row>
    <row r="310" spans="1:14" x14ac:dyDescent="0.3">
      <c r="A310" t="str">
        <v>E0309</v>
      </c>
      <c r="B310" t="str">
        <v>Information Technology</v>
      </c>
      <c r="C310" t="str">
        <v>Systems Analyst</v>
      </c>
      <c r="D310" s="2">
        <v>81500</v>
      </c>
      <c r="E310" s="2">
        <v>78000</v>
      </c>
      <c r="F310" s="3">
        <v>1.0448717948717949</v>
      </c>
      <c r="G310" s="2">
        <v>2445</v>
      </c>
      <c r="H310" s="2">
        <v>83945</v>
      </c>
      <c r="I310">
        <v>0</v>
      </c>
      <c r="J310" s="2">
        <v>81500</v>
      </c>
      <c r="K310">
        <v>0</v>
      </c>
      <c r="L310" s="2">
        <v>81500</v>
      </c>
      <c r="M310" s="1">
        <v>0</v>
      </c>
      <c r="N310" s="1">
        <v>0</v>
      </c>
    </row>
    <row r="311" spans="1:14" x14ac:dyDescent="0.3">
      <c r="A311" t="str">
        <v>E0310</v>
      </c>
      <c r="B311" t="str">
        <v>Administration</v>
      </c>
      <c r="C311" t="str">
        <v>Administrative Coordinator</v>
      </c>
      <c r="D311" s="2">
        <v>72200</v>
      </c>
      <c r="E311" s="2">
        <v>58000</v>
      </c>
      <c r="F311" s="3">
        <v>1.2448275862068965</v>
      </c>
      <c r="G311" s="2">
        <v>2166</v>
      </c>
      <c r="H311" s="2">
        <v>74366</v>
      </c>
      <c r="I311">
        <v>0</v>
      </c>
      <c r="J311" s="2">
        <v>72200</v>
      </c>
      <c r="K311">
        <v>0</v>
      </c>
      <c r="L311" s="2">
        <v>72200</v>
      </c>
      <c r="M311" s="1">
        <v>0</v>
      </c>
      <c r="N311" s="1">
        <v>0</v>
      </c>
    </row>
    <row r="312" spans="1:14" x14ac:dyDescent="0.3">
      <c r="A312" t="str">
        <v>E0311</v>
      </c>
      <c r="B312" t="str">
        <v>Information Technology</v>
      </c>
      <c r="C312" t="str">
        <v>Systems Analyst</v>
      </c>
      <c r="D312" s="2">
        <v>61400</v>
      </c>
      <c r="E312" s="2">
        <v>78000</v>
      </c>
      <c r="F312" s="3">
        <v>0.78717948717948716</v>
      </c>
      <c r="G312" s="2">
        <v>1842</v>
      </c>
      <c r="H312" s="2">
        <v>63242</v>
      </c>
      <c r="I312">
        <v>8800</v>
      </c>
      <c r="J312" s="2">
        <v>70200</v>
      </c>
      <c r="K312">
        <v>12700</v>
      </c>
      <c r="L312" s="2">
        <v>74100</v>
      </c>
      <c r="M312" s="1">
        <v>1</v>
      </c>
      <c r="N312" s="1">
        <v>1</v>
      </c>
    </row>
    <row r="313" spans="1:14" x14ac:dyDescent="0.3">
      <c r="A313" t="str">
        <v>E0312</v>
      </c>
      <c r="B313" t="str">
        <v>Human Resources</v>
      </c>
      <c r="C313" t="str">
        <v>HR Analyst</v>
      </c>
      <c r="D313" s="2">
        <v>60700</v>
      </c>
      <c r="E313" s="2">
        <v>68000</v>
      </c>
      <c r="F313" s="3">
        <v>0.89264705882352946</v>
      </c>
      <c r="G313" s="2">
        <v>1821</v>
      </c>
      <c r="H313" s="2">
        <v>62521</v>
      </c>
      <c r="I313">
        <v>500</v>
      </c>
      <c r="J313" s="2">
        <v>61200</v>
      </c>
      <c r="K313">
        <v>3900</v>
      </c>
      <c r="L313" s="2">
        <v>64600</v>
      </c>
      <c r="M313" s="1">
        <v>1</v>
      </c>
      <c r="N313" s="1">
        <v>1</v>
      </c>
    </row>
    <row r="314" spans="1:14" x14ac:dyDescent="0.3">
      <c r="A314" t="str">
        <v>E0313</v>
      </c>
      <c r="B314" t="str">
        <v>Finance</v>
      </c>
      <c r="C314" t="str">
        <v>Finance Assistant</v>
      </c>
      <c r="D314" s="2">
        <v>46900</v>
      </c>
      <c r="E314" s="2">
        <v>52000</v>
      </c>
      <c r="F314" s="3">
        <v>0.90192307692307694</v>
      </c>
      <c r="G314" s="2">
        <v>1407</v>
      </c>
      <c r="H314" s="2">
        <v>48307</v>
      </c>
      <c r="I314">
        <v>0</v>
      </c>
      <c r="J314" s="2">
        <v>46900</v>
      </c>
      <c r="K314">
        <v>2500</v>
      </c>
      <c r="L314" s="2">
        <v>49400</v>
      </c>
      <c r="M314" s="1">
        <v>0</v>
      </c>
      <c r="N314" s="1">
        <v>1</v>
      </c>
    </row>
    <row r="315" spans="1:14" x14ac:dyDescent="0.3">
      <c r="A315" t="str">
        <v>E0314</v>
      </c>
      <c r="B315" t="str">
        <v>Operations</v>
      </c>
      <c r="C315" t="str">
        <v>Operations Manager</v>
      </c>
      <c r="D315" s="2">
        <v>92600</v>
      </c>
      <c r="E315" s="2">
        <v>85000</v>
      </c>
      <c r="F315" s="3">
        <v>1.0894117647058823</v>
      </c>
      <c r="G315" s="2">
        <v>2778</v>
      </c>
      <c r="H315" s="2">
        <v>95378</v>
      </c>
      <c r="I315">
        <v>0</v>
      </c>
      <c r="J315" s="2">
        <v>92600</v>
      </c>
      <c r="K315">
        <v>0</v>
      </c>
      <c r="L315" s="2">
        <v>92600</v>
      </c>
      <c r="M315" s="1">
        <v>0</v>
      </c>
      <c r="N315" s="1">
        <v>0</v>
      </c>
    </row>
    <row r="316" spans="1:14" x14ac:dyDescent="0.3">
      <c r="A316" t="str">
        <v>E0315</v>
      </c>
      <c r="B316" t="str">
        <v>Operations</v>
      </c>
      <c r="C316" t="str">
        <v>Operations Analyst</v>
      </c>
      <c r="D316" s="2">
        <v>53400</v>
      </c>
      <c r="E316" s="2">
        <v>68000</v>
      </c>
      <c r="F316" s="3">
        <v>0.78529411764705881</v>
      </c>
      <c r="G316" s="2">
        <v>1602</v>
      </c>
      <c r="H316" s="2">
        <v>55002</v>
      </c>
      <c r="I316">
        <v>7800</v>
      </c>
      <c r="J316" s="2">
        <v>61200</v>
      </c>
      <c r="K316">
        <v>11200</v>
      </c>
      <c r="L316" s="2">
        <v>64600</v>
      </c>
      <c r="M316" s="1">
        <v>1</v>
      </c>
      <c r="N316" s="1">
        <v>1</v>
      </c>
    </row>
    <row r="317" spans="1:14" x14ac:dyDescent="0.3">
      <c r="A317" t="str">
        <v>E0316</v>
      </c>
      <c r="B317" t="str">
        <v>Information Technology</v>
      </c>
      <c r="C317" t="str">
        <v>IT Support Analyst</v>
      </c>
      <c r="D317" s="2">
        <v>54800</v>
      </c>
      <c r="E317" s="2">
        <v>58000</v>
      </c>
      <c r="F317" s="3">
        <v>0.94482758620689655</v>
      </c>
      <c r="G317" s="2">
        <v>1644</v>
      </c>
      <c r="H317" s="2">
        <v>56444</v>
      </c>
      <c r="I317">
        <v>0</v>
      </c>
      <c r="J317" s="2">
        <v>54800</v>
      </c>
      <c r="K317">
        <v>300</v>
      </c>
      <c r="L317" s="2">
        <v>55100</v>
      </c>
      <c r="M317" s="1">
        <v>0</v>
      </c>
      <c r="N317" s="1">
        <v>1</v>
      </c>
    </row>
    <row r="318" spans="1:14" x14ac:dyDescent="0.3">
      <c r="A318" t="str">
        <v>E0317</v>
      </c>
      <c r="B318" t="str">
        <v>Administration</v>
      </c>
      <c r="C318" t="str">
        <v>Administrative Coordinator</v>
      </c>
      <c r="D318" s="2">
        <v>57300</v>
      </c>
      <c r="E318" s="2">
        <v>58000</v>
      </c>
      <c r="F318" s="3">
        <v>0.98793103448275865</v>
      </c>
      <c r="G318" s="2">
        <v>1719</v>
      </c>
      <c r="H318" s="2">
        <v>59019</v>
      </c>
      <c r="I318">
        <v>0</v>
      </c>
      <c r="J318" s="2">
        <v>57300</v>
      </c>
      <c r="K318">
        <v>0</v>
      </c>
      <c r="L318" s="2">
        <v>57300</v>
      </c>
      <c r="M318" s="1">
        <v>0</v>
      </c>
      <c r="N318" s="1">
        <v>0</v>
      </c>
    </row>
    <row r="319" spans="1:14" x14ac:dyDescent="0.3">
      <c r="A319" t="str">
        <v>E0318</v>
      </c>
      <c r="B319" t="str">
        <v>Finance</v>
      </c>
      <c r="C319" t="str">
        <v>Senior Financial Analyst</v>
      </c>
      <c r="D319" s="2">
        <v>82800</v>
      </c>
      <c r="E319" s="2">
        <v>88000</v>
      </c>
      <c r="F319" s="3">
        <v>0.94090909090909092</v>
      </c>
      <c r="G319" s="2">
        <v>2484</v>
      </c>
      <c r="H319" s="2">
        <v>85284</v>
      </c>
      <c r="I319">
        <v>0</v>
      </c>
      <c r="J319" s="2">
        <v>82800</v>
      </c>
      <c r="K319">
        <v>800</v>
      </c>
      <c r="L319" s="2">
        <v>83600</v>
      </c>
      <c r="M319" s="1">
        <v>0</v>
      </c>
      <c r="N319" s="1">
        <v>1</v>
      </c>
    </row>
    <row r="320" spans="1:14" x14ac:dyDescent="0.3">
      <c r="A320" t="str">
        <v>E0319</v>
      </c>
      <c r="B320" t="str">
        <v>Administration</v>
      </c>
      <c r="C320" t="str">
        <v>Administrative Assistant</v>
      </c>
      <c r="D320" s="2">
        <v>44900</v>
      </c>
      <c r="E320" s="2">
        <v>48000</v>
      </c>
      <c r="F320" s="3">
        <v>0.93541666666666667</v>
      </c>
      <c r="G320" s="2">
        <v>1347</v>
      </c>
      <c r="H320" s="2">
        <v>46247</v>
      </c>
      <c r="I320">
        <v>0</v>
      </c>
      <c r="J320" s="2">
        <v>44900</v>
      </c>
      <c r="K320">
        <v>700</v>
      </c>
      <c r="L320" s="2">
        <v>45600</v>
      </c>
      <c r="M320" s="1">
        <v>0</v>
      </c>
      <c r="N320" s="1">
        <v>1</v>
      </c>
    </row>
    <row r="321" spans="1:14" x14ac:dyDescent="0.3">
      <c r="A321" t="str">
        <v>E0320</v>
      </c>
      <c r="B321" t="str">
        <v>Finance</v>
      </c>
      <c r="C321" t="str">
        <v>Finance Assistant</v>
      </c>
      <c r="D321" s="2">
        <v>54600</v>
      </c>
      <c r="E321" s="2">
        <v>52000</v>
      </c>
      <c r="F321" s="3">
        <v>1.05</v>
      </c>
      <c r="G321" s="2">
        <v>1638</v>
      </c>
      <c r="H321" s="2">
        <v>56238</v>
      </c>
      <c r="I321">
        <v>0</v>
      </c>
      <c r="J321" s="2">
        <v>54600</v>
      </c>
      <c r="K321">
        <v>0</v>
      </c>
      <c r="L321" s="2">
        <v>54600</v>
      </c>
      <c r="M321" s="1">
        <v>0</v>
      </c>
      <c r="N321" s="1">
        <v>0</v>
      </c>
    </row>
    <row r="322" spans="1:14" x14ac:dyDescent="0.3">
      <c r="A322" t="str">
        <v>E0321</v>
      </c>
      <c r="B322" t="str">
        <v>Administration</v>
      </c>
      <c r="C322" t="str">
        <v>Administrative Assistant</v>
      </c>
      <c r="D322" s="2">
        <v>52800</v>
      </c>
      <c r="E322" s="2">
        <v>48000</v>
      </c>
      <c r="F322" s="3">
        <v>1.1000000000000001</v>
      </c>
      <c r="G322" s="2">
        <v>1584</v>
      </c>
      <c r="H322" s="2">
        <v>54384</v>
      </c>
      <c r="I322">
        <v>0</v>
      </c>
      <c r="J322" s="2">
        <v>52800</v>
      </c>
      <c r="K322">
        <v>0</v>
      </c>
      <c r="L322" s="2">
        <v>52800</v>
      </c>
      <c r="M322" s="1">
        <v>0</v>
      </c>
      <c r="N322" s="1">
        <v>0</v>
      </c>
    </row>
    <row r="323" spans="1:14" x14ac:dyDescent="0.3">
      <c r="A323" t="str">
        <v>E0322</v>
      </c>
      <c r="B323" t="str">
        <v>Operations</v>
      </c>
      <c r="C323" t="str">
        <v>Operations Assistant</v>
      </c>
      <c r="D323" s="2">
        <v>51800</v>
      </c>
      <c r="E323" s="2">
        <v>50000</v>
      </c>
      <c r="F323" s="3">
        <v>1.036</v>
      </c>
      <c r="G323" s="2">
        <v>1554</v>
      </c>
      <c r="H323" s="2">
        <v>53354</v>
      </c>
      <c r="I323">
        <v>0</v>
      </c>
      <c r="J323" s="2">
        <v>51800</v>
      </c>
      <c r="K323">
        <v>0</v>
      </c>
      <c r="L323" s="2">
        <v>51800</v>
      </c>
      <c r="M323" s="1">
        <v>0</v>
      </c>
      <c r="N323" s="1">
        <v>0</v>
      </c>
    </row>
    <row r="324" spans="1:14" x14ac:dyDescent="0.3">
      <c r="A324" t="str">
        <v>E0323</v>
      </c>
      <c r="B324" t="str">
        <v>Policy &amp; Research</v>
      </c>
      <c r="C324" t="str">
        <v>Research Assistant</v>
      </c>
      <c r="D324" s="2">
        <v>51300</v>
      </c>
      <c r="E324" s="2">
        <v>52000</v>
      </c>
      <c r="F324" s="3">
        <v>0.98653846153846159</v>
      </c>
      <c r="G324" s="2">
        <v>1539</v>
      </c>
      <c r="H324" s="2">
        <v>52839</v>
      </c>
      <c r="I324">
        <v>0</v>
      </c>
      <c r="J324" s="2">
        <v>51300</v>
      </c>
      <c r="K324">
        <v>0</v>
      </c>
      <c r="L324" s="2">
        <v>51300</v>
      </c>
      <c r="M324" s="1">
        <v>0</v>
      </c>
      <c r="N324" s="1">
        <v>0</v>
      </c>
    </row>
    <row r="325" spans="1:14" x14ac:dyDescent="0.3">
      <c r="A325" t="str">
        <v>E0324</v>
      </c>
      <c r="B325" t="str">
        <v>Operations</v>
      </c>
      <c r="C325" t="str">
        <v>Operations Manager</v>
      </c>
      <c r="D325" s="2">
        <v>91800</v>
      </c>
      <c r="E325" s="2">
        <v>85000</v>
      </c>
      <c r="F325" s="3">
        <v>1.08</v>
      </c>
      <c r="G325" s="2">
        <v>2754</v>
      </c>
      <c r="H325" s="2">
        <v>94554</v>
      </c>
      <c r="I325">
        <v>0</v>
      </c>
      <c r="J325" s="2">
        <v>91800</v>
      </c>
      <c r="K325">
        <v>0</v>
      </c>
      <c r="L325" s="2">
        <v>91800</v>
      </c>
      <c r="M325" s="1">
        <v>0</v>
      </c>
      <c r="N325" s="1">
        <v>0</v>
      </c>
    </row>
    <row r="326" spans="1:14" x14ac:dyDescent="0.3">
      <c r="A326" t="str">
        <v>E0325</v>
      </c>
      <c r="B326" t="str">
        <v>Finance</v>
      </c>
      <c r="C326" t="str">
        <v>Finance Assistant</v>
      </c>
      <c r="D326" s="2">
        <v>53200</v>
      </c>
      <c r="E326" s="2">
        <v>52000</v>
      </c>
      <c r="F326" s="3">
        <v>1.023076923076923</v>
      </c>
      <c r="G326" s="2">
        <v>1596</v>
      </c>
      <c r="H326" s="2">
        <v>54796</v>
      </c>
      <c r="I326">
        <v>0</v>
      </c>
      <c r="J326" s="2">
        <v>53200</v>
      </c>
      <c r="K326">
        <v>0</v>
      </c>
      <c r="L326" s="2">
        <v>53200</v>
      </c>
      <c r="M326" s="1">
        <v>0</v>
      </c>
      <c r="N326" s="1">
        <v>0</v>
      </c>
    </row>
    <row r="327" spans="1:14" x14ac:dyDescent="0.3">
      <c r="A327" t="str">
        <v>E0326</v>
      </c>
      <c r="B327" t="str">
        <v>Policy &amp; Research</v>
      </c>
      <c r="C327" t="str">
        <v>Research Assistant</v>
      </c>
      <c r="D327" s="2">
        <v>49000</v>
      </c>
      <c r="E327" s="2">
        <v>52000</v>
      </c>
      <c r="F327" s="3">
        <v>0.94230769230769229</v>
      </c>
      <c r="G327" s="2">
        <v>1470</v>
      </c>
      <c r="H327" s="2">
        <v>50470</v>
      </c>
      <c r="I327">
        <v>0</v>
      </c>
      <c r="J327" s="2">
        <v>49000</v>
      </c>
      <c r="K327">
        <v>400</v>
      </c>
      <c r="L327" s="2">
        <v>49400</v>
      </c>
      <c r="M327" s="1">
        <v>0</v>
      </c>
      <c r="N327" s="1">
        <v>1</v>
      </c>
    </row>
    <row r="328" spans="1:14" x14ac:dyDescent="0.3">
      <c r="A328" t="str">
        <v>E0327</v>
      </c>
      <c r="B328" t="str">
        <v>Information Technology</v>
      </c>
      <c r="C328" t="str">
        <v>Systems Analyst</v>
      </c>
      <c r="D328" s="2">
        <v>75200</v>
      </c>
      <c r="E328" s="2">
        <v>78000</v>
      </c>
      <c r="F328" s="3">
        <v>0.96410256410256412</v>
      </c>
      <c r="G328" s="2">
        <v>2256</v>
      </c>
      <c r="H328" s="2">
        <v>77456</v>
      </c>
      <c r="I328">
        <v>0</v>
      </c>
      <c r="J328" s="2">
        <v>75200</v>
      </c>
      <c r="K328">
        <v>0</v>
      </c>
      <c r="L328" s="2">
        <v>75200</v>
      </c>
      <c r="M328" s="1">
        <v>0</v>
      </c>
      <c r="N328" s="1">
        <v>0</v>
      </c>
    </row>
    <row r="329" spans="1:14" x14ac:dyDescent="0.3">
      <c r="A329" t="str">
        <v>E0328</v>
      </c>
      <c r="B329" t="str">
        <v>Administration</v>
      </c>
      <c r="C329" t="str">
        <v>Office Manager</v>
      </c>
      <c r="D329" s="2">
        <v>71700</v>
      </c>
      <c r="E329" s="2">
        <v>72000</v>
      </c>
      <c r="F329" s="3">
        <v>0.99583333333333335</v>
      </c>
      <c r="G329" s="2">
        <v>2151</v>
      </c>
      <c r="H329" s="2">
        <v>73851</v>
      </c>
      <c r="I329">
        <v>0</v>
      </c>
      <c r="J329" s="2">
        <v>71700</v>
      </c>
      <c r="K329">
        <v>0</v>
      </c>
      <c r="L329" s="2">
        <v>71700</v>
      </c>
      <c r="M329" s="1">
        <v>0</v>
      </c>
      <c r="N329" s="1">
        <v>0</v>
      </c>
    </row>
    <row r="330" spans="1:14" x14ac:dyDescent="0.3">
      <c r="A330" t="str">
        <v>E0329</v>
      </c>
      <c r="B330" t="str">
        <v>Information Technology</v>
      </c>
      <c r="C330" t="str">
        <v>Systems Analyst</v>
      </c>
      <c r="D330" s="2">
        <v>74600</v>
      </c>
      <c r="E330" s="2">
        <v>78000</v>
      </c>
      <c r="F330" s="3">
        <v>0.95641025641025645</v>
      </c>
      <c r="G330" s="2">
        <v>2238</v>
      </c>
      <c r="H330" s="2">
        <v>76838</v>
      </c>
      <c r="I330">
        <v>0</v>
      </c>
      <c r="J330" s="2">
        <v>74600</v>
      </c>
      <c r="K330">
        <v>0</v>
      </c>
      <c r="L330" s="2">
        <v>74600</v>
      </c>
      <c r="M330" s="1">
        <v>0</v>
      </c>
      <c r="N330" s="1">
        <v>0</v>
      </c>
    </row>
    <row r="331" spans="1:14" x14ac:dyDescent="0.3">
      <c r="A331" t="str">
        <v>E0330</v>
      </c>
      <c r="B331" t="str">
        <v>Finance</v>
      </c>
      <c r="C331" t="str">
        <v>Finance Assistant</v>
      </c>
      <c r="D331" s="2">
        <v>50000</v>
      </c>
      <c r="E331" s="2">
        <v>52000</v>
      </c>
      <c r="F331" s="3">
        <v>0.96153846153846156</v>
      </c>
      <c r="G331" s="2">
        <v>1500</v>
      </c>
      <c r="H331" s="2">
        <v>51500</v>
      </c>
      <c r="I331">
        <v>0</v>
      </c>
      <c r="J331" s="2">
        <v>50000</v>
      </c>
      <c r="K331">
        <v>0</v>
      </c>
      <c r="L331" s="2">
        <v>50000</v>
      </c>
      <c r="M331" s="1">
        <v>0</v>
      </c>
      <c r="N331" s="1">
        <v>0</v>
      </c>
    </row>
    <row r="332" spans="1:14" x14ac:dyDescent="0.3">
      <c r="A332" t="str">
        <v>E0331</v>
      </c>
      <c r="B332" t="str">
        <v>Policy &amp; Research</v>
      </c>
      <c r="C332" t="str">
        <v>Policy Analyst</v>
      </c>
      <c r="D332" s="2">
        <v>74200</v>
      </c>
      <c r="E332" s="2">
        <v>72000</v>
      </c>
      <c r="F332" s="3">
        <v>1.0305555555555554</v>
      </c>
      <c r="G332" s="2">
        <v>2226</v>
      </c>
      <c r="H332" s="2">
        <v>76426</v>
      </c>
      <c r="I332">
        <v>0</v>
      </c>
      <c r="J332" s="2">
        <v>74200</v>
      </c>
      <c r="K332">
        <v>0</v>
      </c>
      <c r="L332" s="2">
        <v>74200</v>
      </c>
      <c r="M332" s="1">
        <v>0</v>
      </c>
      <c r="N332" s="1">
        <v>0</v>
      </c>
    </row>
    <row r="333" spans="1:14" x14ac:dyDescent="0.3">
      <c r="A333" t="str">
        <v>E0332</v>
      </c>
      <c r="B333" t="str">
        <v>Finance</v>
      </c>
      <c r="C333" t="str">
        <v>Senior Financial Analyst</v>
      </c>
      <c r="D333" s="2">
        <v>72900</v>
      </c>
      <c r="E333" s="2">
        <v>88000</v>
      </c>
      <c r="F333" s="3">
        <v>0.82840909090909087</v>
      </c>
      <c r="G333" s="2">
        <v>2187</v>
      </c>
      <c r="H333" s="2">
        <v>75087</v>
      </c>
      <c r="I333">
        <v>6300</v>
      </c>
      <c r="J333" s="2">
        <v>79200</v>
      </c>
      <c r="K333">
        <v>10700</v>
      </c>
      <c r="L333" s="2">
        <v>83600</v>
      </c>
      <c r="M333" s="1">
        <v>1</v>
      </c>
      <c r="N333" s="1">
        <v>1</v>
      </c>
    </row>
    <row r="334" spans="1:14" x14ac:dyDescent="0.3">
      <c r="A334" t="str">
        <v>E0333</v>
      </c>
      <c r="B334" t="str">
        <v>Finance</v>
      </c>
      <c r="C334" t="str">
        <v>Finance Assistant</v>
      </c>
      <c r="D334" s="2">
        <v>47300</v>
      </c>
      <c r="E334" s="2">
        <v>52000</v>
      </c>
      <c r="F334" s="3">
        <v>0.9096153846153846</v>
      </c>
      <c r="G334" s="2">
        <v>1419</v>
      </c>
      <c r="H334" s="2">
        <v>48719</v>
      </c>
      <c r="I334">
        <v>0</v>
      </c>
      <c r="J334" s="2">
        <v>47300</v>
      </c>
      <c r="K334">
        <v>2100</v>
      </c>
      <c r="L334" s="2">
        <v>49400</v>
      </c>
      <c r="M334" s="1">
        <v>0</v>
      </c>
      <c r="N334" s="1">
        <v>1</v>
      </c>
    </row>
    <row r="335" spans="1:14" x14ac:dyDescent="0.3">
      <c r="A335" t="str">
        <v>E0334</v>
      </c>
      <c r="B335" t="str">
        <v>Administration</v>
      </c>
      <c r="C335" t="str">
        <v>Administrative Coordinator</v>
      </c>
      <c r="D335" s="2">
        <v>56700</v>
      </c>
      <c r="E335" s="2">
        <v>58000</v>
      </c>
      <c r="F335" s="3">
        <v>0.97758620689655173</v>
      </c>
      <c r="G335" s="2">
        <v>1701</v>
      </c>
      <c r="H335" s="2">
        <v>58401</v>
      </c>
      <c r="I335">
        <v>0</v>
      </c>
      <c r="J335" s="2">
        <v>56700</v>
      </c>
      <c r="K335">
        <v>0</v>
      </c>
      <c r="L335" s="2">
        <v>56700</v>
      </c>
      <c r="M335" s="1">
        <v>0</v>
      </c>
      <c r="N335" s="1">
        <v>0</v>
      </c>
    </row>
    <row r="336" spans="1:14" x14ac:dyDescent="0.3">
      <c r="A336" t="str">
        <v>E0335</v>
      </c>
      <c r="B336" t="str">
        <v>Human Resources</v>
      </c>
      <c r="C336" t="str">
        <v>HR Advisor</v>
      </c>
      <c r="D336" s="2">
        <v>84800</v>
      </c>
      <c r="E336" s="2">
        <v>82000</v>
      </c>
      <c r="F336" s="3">
        <v>1.0341463414634147</v>
      </c>
      <c r="G336" s="2">
        <v>2544</v>
      </c>
      <c r="H336" s="2">
        <v>87344</v>
      </c>
      <c r="I336">
        <v>0</v>
      </c>
      <c r="J336" s="2">
        <v>84800</v>
      </c>
      <c r="K336">
        <v>0</v>
      </c>
      <c r="L336" s="2">
        <v>84800</v>
      </c>
      <c r="M336" s="1">
        <v>0</v>
      </c>
      <c r="N336" s="1">
        <v>0</v>
      </c>
    </row>
    <row r="337" spans="1:14" x14ac:dyDescent="0.3">
      <c r="A337" t="str">
        <v>E0336</v>
      </c>
      <c r="B337" t="str">
        <v>Operations</v>
      </c>
      <c r="C337" t="str">
        <v>Operations Analyst</v>
      </c>
      <c r="D337" s="2">
        <v>76900</v>
      </c>
      <c r="E337" s="2">
        <v>68000</v>
      </c>
      <c r="F337" s="3">
        <v>1.1308823529411764</v>
      </c>
      <c r="G337" s="2">
        <v>2307</v>
      </c>
      <c r="H337" s="2">
        <v>79207</v>
      </c>
      <c r="I337">
        <v>0</v>
      </c>
      <c r="J337" s="2">
        <v>76900</v>
      </c>
      <c r="K337">
        <v>0</v>
      </c>
      <c r="L337" s="2">
        <v>76900</v>
      </c>
      <c r="M337" s="1">
        <v>0</v>
      </c>
      <c r="N337" s="1">
        <v>0</v>
      </c>
    </row>
    <row r="338" spans="1:14" x14ac:dyDescent="0.3">
      <c r="A338" t="str">
        <v>E0337</v>
      </c>
      <c r="B338" t="str">
        <v>Administration</v>
      </c>
      <c r="C338" t="str">
        <v>Administrative Assistant</v>
      </c>
      <c r="D338" s="2">
        <v>44000</v>
      </c>
      <c r="E338" s="2">
        <v>48000</v>
      </c>
      <c r="F338" s="3">
        <v>0.91666666666666663</v>
      </c>
      <c r="G338" s="2">
        <v>1320</v>
      </c>
      <c r="H338" s="2">
        <v>45320</v>
      </c>
      <c r="I338">
        <v>0</v>
      </c>
      <c r="J338" s="2">
        <v>44000</v>
      </c>
      <c r="K338">
        <v>1600</v>
      </c>
      <c r="L338" s="2">
        <v>45600</v>
      </c>
      <c r="M338" s="1">
        <v>0</v>
      </c>
      <c r="N338" s="1">
        <v>1</v>
      </c>
    </row>
    <row r="339" spans="1:14" x14ac:dyDescent="0.3">
      <c r="A339" t="str">
        <v>E0338</v>
      </c>
      <c r="B339" t="str">
        <v>Administration</v>
      </c>
      <c r="C339" t="str">
        <v>Office Manager</v>
      </c>
      <c r="D339" s="2">
        <v>69900</v>
      </c>
      <c r="E339" s="2">
        <v>72000</v>
      </c>
      <c r="F339" s="3">
        <v>0.97083333333333333</v>
      </c>
      <c r="G339" s="2">
        <v>2097</v>
      </c>
      <c r="H339" s="2">
        <v>71997</v>
      </c>
      <c r="I339">
        <v>0</v>
      </c>
      <c r="J339" s="2">
        <v>69900</v>
      </c>
      <c r="K339">
        <v>0</v>
      </c>
      <c r="L339" s="2">
        <v>69900</v>
      </c>
      <c r="M339" s="1">
        <v>0</v>
      </c>
      <c r="N339" s="1">
        <v>0</v>
      </c>
    </row>
    <row r="340" spans="1:14" x14ac:dyDescent="0.3">
      <c r="A340" t="str">
        <v>E0339</v>
      </c>
      <c r="B340" t="str">
        <v>Operations</v>
      </c>
      <c r="C340" t="str">
        <v>Operations Analyst</v>
      </c>
      <c r="D340" s="2">
        <v>68700</v>
      </c>
      <c r="E340" s="2">
        <v>68000</v>
      </c>
      <c r="F340" s="3">
        <v>1.0102941176470588</v>
      </c>
      <c r="G340" s="2">
        <v>2061</v>
      </c>
      <c r="H340" s="2">
        <v>70761</v>
      </c>
      <c r="I340">
        <v>0</v>
      </c>
      <c r="J340" s="2">
        <v>68700</v>
      </c>
      <c r="K340">
        <v>0</v>
      </c>
      <c r="L340" s="2">
        <v>68700</v>
      </c>
      <c r="M340" s="1">
        <v>0</v>
      </c>
      <c r="N340" s="1">
        <v>0</v>
      </c>
    </row>
    <row r="341" spans="1:14" x14ac:dyDescent="0.3">
      <c r="A341" t="str">
        <v>E0340</v>
      </c>
      <c r="B341" t="str">
        <v>Administration</v>
      </c>
      <c r="C341" t="str">
        <v>Office Manager</v>
      </c>
      <c r="D341" s="2">
        <v>73400</v>
      </c>
      <c r="E341" s="2">
        <v>72000</v>
      </c>
      <c r="F341" s="3">
        <v>1.0194444444444444</v>
      </c>
      <c r="G341" s="2">
        <v>2202</v>
      </c>
      <c r="H341" s="2">
        <v>75602</v>
      </c>
      <c r="I341">
        <v>0</v>
      </c>
      <c r="J341" s="2">
        <v>73400</v>
      </c>
      <c r="K341">
        <v>0</v>
      </c>
      <c r="L341" s="2">
        <v>73400</v>
      </c>
      <c r="M341" s="1">
        <v>0</v>
      </c>
      <c r="N341" s="1">
        <v>0</v>
      </c>
    </row>
    <row r="342" spans="1:14" x14ac:dyDescent="0.3">
      <c r="A342" t="str">
        <v>E0341</v>
      </c>
      <c r="B342" t="str">
        <v>Administration</v>
      </c>
      <c r="C342" t="str">
        <v>Administrative Coordinator</v>
      </c>
      <c r="D342" s="2">
        <v>48700</v>
      </c>
      <c r="E342" s="2">
        <v>58000</v>
      </c>
      <c r="F342" s="3">
        <v>0.83965517241379306</v>
      </c>
      <c r="G342" s="2">
        <v>1461</v>
      </c>
      <c r="H342" s="2">
        <v>50161</v>
      </c>
      <c r="I342">
        <v>3500</v>
      </c>
      <c r="J342" s="2">
        <v>52200</v>
      </c>
      <c r="K342">
        <v>6400</v>
      </c>
      <c r="L342" s="2">
        <v>55100</v>
      </c>
      <c r="M342" s="1">
        <v>1</v>
      </c>
      <c r="N342" s="1">
        <v>1</v>
      </c>
    </row>
    <row r="343" spans="1:14" x14ac:dyDescent="0.3">
      <c r="A343" t="str">
        <v>E0342</v>
      </c>
      <c r="B343" t="str">
        <v>Policy &amp; Research</v>
      </c>
      <c r="C343" t="str">
        <v>Senior Policy Analyst</v>
      </c>
      <c r="D343" s="2">
        <v>72500</v>
      </c>
      <c r="E343" s="2">
        <v>90000</v>
      </c>
      <c r="F343" s="3">
        <v>0.80555555555555558</v>
      </c>
      <c r="G343" s="2">
        <v>2175</v>
      </c>
      <c r="H343" s="2">
        <v>74675</v>
      </c>
      <c r="I343">
        <v>8500</v>
      </c>
      <c r="J343" s="2">
        <v>81000</v>
      </c>
      <c r="K343">
        <v>13000</v>
      </c>
      <c r="L343" s="2">
        <v>85500</v>
      </c>
      <c r="M343" s="1">
        <v>1</v>
      </c>
      <c r="N343" s="1">
        <v>1</v>
      </c>
    </row>
    <row r="344" spans="1:14" x14ac:dyDescent="0.3">
      <c r="A344" t="str">
        <v>E0343</v>
      </c>
      <c r="B344" t="str">
        <v>Administration</v>
      </c>
      <c r="C344" t="str">
        <v>Office Manager</v>
      </c>
      <c r="D344" s="2">
        <v>59800</v>
      </c>
      <c r="E344" s="2">
        <v>72000</v>
      </c>
      <c r="F344" s="3">
        <v>0.8305555555555556</v>
      </c>
      <c r="G344" s="2">
        <v>1794</v>
      </c>
      <c r="H344" s="2">
        <v>61594</v>
      </c>
      <c r="I344">
        <v>5000</v>
      </c>
      <c r="J344" s="2">
        <v>64800</v>
      </c>
      <c r="K344">
        <v>8600</v>
      </c>
      <c r="L344" s="2">
        <v>68400</v>
      </c>
      <c r="M344" s="1">
        <v>1</v>
      </c>
      <c r="N344" s="1">
        <v>1</v>
      </c>
    </row>
    <row r="345" spans="1:14" x14ac:dyDescent="0.3">
      <c r="A345" t="str">
        <v>E0344</v>
      </c>
      <c r="B345" t="str">
        <v>Operations</v>
      </c>
      <c r="C345" t="str">
        <v>Operations Analyst</v>
      </c>
      <c r="D345" s="2">
        <v>66700</v>
      </c>
      <c r="E345" s="2">
        <v>68000</v>
      </c>
      <c r="F345" s="3">
        <v>0.98088235294117643</v>
      </c>
      <c r="G345" s="2">
        <v>2001</v>
      </c>
      <c r="H345" s="2">
        <v>68701</v>
      </c>
      <c r="I345">
        <v>0</v>
      </c>
      <c r="J345" s="2">
        <v>66700</v>
      </c>
      <c r="K345">
        <v>0</v>
      </c>
      <c r="L345" s="2">
        <v>66700</v>
      </c>
      <c r="M345" s="1">
        <v>0</v>
      </c>
      <c r="N345" s="1">
        <v>0</v>
      </c>
    </row>
    <row r="346" spans="1:14" x14ac:dyDescent="0.3">
      <c r="A346" t="str">
        <v>E0345</v>
      </c>
      <c r="B346" t="str">
        <v>Human Resources</v>
      </c>
      <c r="C346" t="str">
        <v>HR Assistant</v>
      </c>
      <c r="D346" s="2">
        <v>45200</v>
      </c>
      <c r="E346" s="2">
        <v>50000</v>
      </c>
      <c r="F346" s="3">
        <v>0.90400000000000003</v>
      </c>
      <c r="G346" s="2">
        <v>1356</v>
      </c>
      <c r="H346" s="2">
        <v>46556</v>
      </c>
      <c r="I346">
        <v>0</v>
      </c>
      <c r="J346" s="2">
        <v>45200</v>
      </c>
      <c r="K346">
        <v>2300</v>
      </c>
      <c r="L346" s="2">
        <v>47500</v>
      </c>
      <c r="M346" s="1">
        <v>0</v>
      </c>
      <c r="N346" s="1">
        <v>1</v>
      </c>
    </row>
    <row r="347" spans="1:14" x14ac:dyDescent="0.3">
      <c r="A347" t="str">
        <v>E0346</v>
      </c>
      <c r="B347" t="str">
        <v>Finance</v>
      </c>
      <c r="C347" t="str">
        <v>Finance Assistant</v>
      </c>
      <c r="D347" s="2">
        <v>49300</v>
      </c>
      <c r="E347" s="2">
        <v>52000</v>
      </c>
      <c r="F347" s="3">
        <v>0.94807692307692304</v>
      </c>
      <c r="G347" s="2">
        <v>1479</v>
      </c>
      <c r="H347" s="2">
        <v>50779</v>
      </c>
      <c r="I347">
        <v>0</v>
      </c>
      <c r="J347" s="2">
        <v>49300</v>
      </c>
      <c r="K347">
        <v>100</v>
      </c>
      <c r="L347" s="2">
        <v>49400</v>
      </c>
      <c r="M347" s="1">
        <v>0</v>
      </c>
      <c r="N347" s="1">
        <v>1</v>
      </c>
    </row>
    <row r="348" spans="1:14" x14ac:dyDescent="0.3">
      <c r="A348" t="str">
        <v>E0347</v>
      </c>
      <c r="B348" t="str">
        <v>Policy &amp; Research</v>
      </c>
      <c r="C348" t="str">
        <v>Senior Policy Analyst</v>
      </c>
      <c r="D348" s="2">
        <v>94700</v>
      </c>
      <c r="E348" s="2">
        <v>90000</v>
      </c>
      <c r="F348" s="3">
        <v>1.0522222222222222</v>
      </c>
      <c r="G348" s="2">
        <v>2841</v>
      </c>
      <c r="H348" s="2">
        <v>97541</v>
      </c>
      <c r="I348">
        <v>0</v>
      </c>
      <c r="J348" s="2">
        <v>94700</v>
      </c>
      <c r="K348">
        <v>0</v>
      </c>
      <c r="L348" s="2">
        <v>94700</v>
      </c>
      <c r="M348" s="1">
        <v>0</v>
      </c>
      <c r="N348" s="1">
        <v>0</v>
      </c>
    </row>
    <row r="349" spans="1:14" x14ac:dyDescent="0.3">
      <c r="A349" t="str">
        <v>E0348</v>
      </c>
      <c r="B349" t="str">
        <v>Operations</v>
      </c>
      <c r="C349" t="str">
        <v>Operations Analyst</v>
      </c>
      <c r="D349" s="2">
        <v>49700</v>
      </c>
      <c r="E349" s="2">
        <v>68000</v>
      </c>
      <c r="F349" s="3">
        <v>0.73088235294117643</v>
      </c>
      <c r="G349" s="2">
        <v>1491</v>
      </c>
      <c r="H349" s="2">
        <v>51191</v>
      </c>
      <c r="I349">
        <v>11500</v>
      </c>
      <c r="J349" s="2">
        <v>61200</v>
      </c>
      <c r="K349">
        <v>14900</v>
      </c>
      <c r="L349" s="2">
        <v>64600</v>
      </c>
      <c r="M349" s="1">
        <v>1</v>
      </c>
      <c r="N349" s="1">
        <v>1</v>
      </c>
    </row>
    <row r="350" spans="1:14" x14ac:dyDescent="0.3">
      <c r="A350" t="str">
        <v>E0349</v>
      </c>
      <c r="B350" t="str">
        <v>Policy &amp; Research</v>
      </c>
      <c r="C350" t="str">
        <v>Research Assistant</v>
      </c>
      <c r="D350" s="2">
        <v>53300</v>
      </c>
      <c r="E350" s="2">
        <v>52000</v>
      </c>
      <c r="F350" s="3">
        <v>1.0249999999999999</v>
      </c>
      <c r="G350" s="2">
        <v>1599</v>
      </c>
      <c r="H350" s="2">
        <v>54899</v>
      </c>
      <c r="I350">
        <v>0</v>
      </c>
      <c r="J350" s="2">
        <v>53300</v>
      </c>
      <c r="K350">
        <v>0</v>
      </c>
      <c r="L350" s="2">
        <v>53300</v>
      </c>
      <c r="M350" s="1">
        <v>0</v>
      </c>
      <c r="N350" s="1">
        <v>0</v>
      </c>
    </row>
    <row r="351" spans="1:14" x14ac:dyDescent="0.3">
      <c r="A351" t="str">
        <v>E0350</v>
      </c>
      <c r="B351" t="str">
        <v>Administration</v>
      </c>
      <c r="C351" t="str">
        <v>Office Manager</v>
      </c>
      <c r="D351" s="2">
        <v>70400</v>
      </c>
      <c r="E351" s="2">
        <v>72000</v>
      </c>
      <c r="F351" s="3">
        <v>0.97777777777777775</v>
      </c>
      <c r="G351" s="2">
        <v>2112</v>
      </c>
      <c r="H351" s="2">
        <v>72512</v>
      </c>
      <c r="I351">
        <v>0</v>
      </c>
      <c r="J351" s="2">
        <v>70400</v>
      </c>
      <c r="K351">
        <v>0</v>
      </c>
      <c r="L351" s="2">
        <v>70400</v>
      </c>
      <c r="M351" s="1">
        <v>0</v>
      </c>
      <c r="N351" s="1">
        <v>0</v>
      </c>
    </row>
    <row r="352" spans="1:14" x14ac:dyDescent="0.3">
      <c r="A352" t="str">
        <v>E0351</v>
      </c>
      <c r="B352" t="str">
        <v>Policy &amp; Research</v>
      </c>
      <c r="C352" t="str">
        <v>Research Assistant</v>
      </c>
      <c r="D352" s="2">
        <v>40600</v>
      </c>
      <c r="E352" s="2">
        <v>52000</v>
      </c>
      <c r="F352" s="3">
        <v>0.78076923076923077</v>
      </c>
      <c r="G352" s="2">
        <v>1218</v>
      </c>
      <c r="H352" s="2">
        <v>41818</v>
      </c>
      <c r="I352">
        <v>6200</v>
      </c>
      <c r="J352" s="2">
        <v>46800</v>
      </c>
      <c r="K352">
        <v>8800</v>
      </c>
      <c r="L352" s="2">
        <v>49400</v>
      </c>
      <c r="M352" s="1">
        <v>1</v>
      </c>
      <c r="N352" s="1">
        <v>1</v>
      </c>
    </row>
    <row r="353" spans="1:14" x14ac:dyDescent="0.3">
      <c r="A353" t="str">
        <v>E0352</v>
      </c>
      <c r="B353" t="str">
        <v>Information Technology</v>
      </c>
      <c r="C353" t="str">
        <v>Systems Analyst</v>
      </c>
      <c r="D353" s="2">
        <v>73300</v>
      </c>
      <c r="E353" s="2">
        <v>78000</v>
      </c>
      <c r="F353" s="3">
        <v>0.93974358974358974</v>
      </c>
      <c r="G353" s="2">
        <v>2199</v>
      </c>
      <c r="H353" s="2">
        <v>75499</v>
      </c>
      <c r="I353">
        <v>0</v>
      </c>
      <c r="J353" s="2">
        <v>73300</v>
      </c>
      <c r="K353">
        <v>800</v>
      </c>
      <c r="L353" s="2">
        <v>74100</v>
      </c>
      <c r="M353" s="1">
        <v>0</v>
      </c>
      <c r="N353" s="1">
        <v>1</v>
      </c>
    </row>
    <row r="354" spans="1:14" x14ac:dyDescent="0.3">
      <c r="A354" t="str">
        <v>E0353</v>
      </c>
      <c r="B354" t="str">
        <v>Finance</v>
      </c>
      <c r="C354" t="str">
        <v>Financial Analyst</v>
      </c>
      <c r="D354" s="2">
        <v>59100</v>
      </c>
      <c r="E354" s="2">
        <v>70000</v>
      </c>
      <c r="F354" s="3">
        <v>0.84428571428571431</v>
      </c>
      <c r="G354" s="2">
        <v>1773</v>
      </c>
      <c r="H354" s="2">
        <v>60873</v>
      </c>
      <c r="I354">
        <v>3900</v>
      </c>
      <c r="J354" s="2">
        <v>63000</v>
      </c>
      <c r="K354">
        <v>7400</v>
      </c>
      <c r="L354" s="2">
        <v>66500</v>
      </c>
      <c r="M354" s="1">
        <v>1</v>
      </c>
      <c r="N354" s="1">
        <v>1</v>
      </c>
    </row>
    <row r="355" spans="1:14" x14ac:dyDescent="0.3">
      <c r="A355" t="str">
        <v>E0354</v>
      </c>
      <c r="B355" t="str">
        <v>Information Technology</v>
      </c>
      <c r="C355" t="str">
        <v>Systems Analyst</v>
      </c>
      <c r="D355" s="2">
        <v>74600</v>
      </c>
      <c r="E355" s="2">
        <v>78000</v>
      </c>
      <c r="F355" s="3">
        <v>0.95641025641025645</v>
      </c>
      <c r="G355" s="2">
        <v>2238</v>
      </c>
      <c r="H355" s="2">
        <v>76838</v>
      </c>
      <c r="I355">
        <v>0</v>
      </c>
      <c r="J355" s="2">
        <v>74600</v>
      </c>
      <c r="K355">
        <v>0</v>
      </c>
      <c r="L355" s="2">
        <v>74600</v>
      </c>
      <c r="M355" s="1">
        <v>0</v>
      </c>
      <c r="N355" s="1">
        <v>0</v>
      </c>
    </row>
    <row r="356" spans="1:14" x14ac:dyDescent="0.3">
      <c r="A356" t="str">
        <v>E0355</v>
      </c>
      <c r="B356" t="str">
        <v>Administration</v>
      </c>
      <c r="C356" t="str">
        <v>Administrative Coordinator</v>
      </c>
      <c r="D356" s="2">
        <v>50300</v>
      </c>
      <c r="E356" s="2">
        <v>58000</v>
      </c>
      <c r="F356" s="3">
        <v>0.86724137931034484</v>
      </c>
      <c r="G356" s="2">
        <v>1509</v>
      </c>
      <c r="H356" s="2">
        <v>51809</v>
      </c>
      <c r="I356">
        <v>1900</v>
      </c>
      <c r="J356" s="2">
        <v>52200</v>
      </c>
      <c r="K356">
        <v>4800</v>
      </c>
      <c r="L356" s="2">
        <v>55100</v>
      </c>
      <c r="M356" s="1">
        <v>1</v>
      </c>
      <c r="N356" s="1">
        <v>1</v>
      </c>
    </row>
    <row r="357" spans="1:14" x14ac:dyDescent="0.3">
      <c r="A357" t="str">
        <v>E0356</v>
      </c>
      <c r="B357" t="str">
        <v>Operations</v>
      </c>
      <c r="C357" t="str">
        <v>Operations Assistant</v>
      </c>
      <c r="D357" s="2">
        <v>46700</v>
      </c>
      <c r="E357" s="2">
        <v>50000</v>
      </c>
      <c r="F357" s="3">
        <v>0.93400000000000005</v>
      </c>
      <c r="G357" s="2">
        <v>1401</v>
      </c>
      <c r="H357" s="2">
        <v>48101</v>
      </c>
      <c r="I357">
        <v>0</v>
      </c>
      <c r="J357" s="2">
        <v>46700</v>
      </c>
      <c r="K357">
        <v>800</v>
      </c>
      <c r="L357" s="2">
        <v>47500</v>
      </c>
      <c r="M357" s="1">
        <v>0</v>
      </c>
      <c r="N357" s="1">
        <v>1</v>
      </c>
    </row>
    <row r="358" spans="1:14" x14ac:dyDescent="0.3">
      <c r="A358" t="str">
        <v>E0357</v>
      </c>
      <c r="B358" t="str">
        <v>Finance</v>
      </c>
      <c r="C358" t="str">
        <v>Senior Financial Analyst</v>
      </c>
      <c r="D358" s="2">
        <v>84000</v>
      </c>
      <c r="E358" s="2">
        <v>88000</v>
      </c>
      <c r="F358" s="3">
        <v>0.95454545454545459</v>
      </c>
      <c r="G358" s="2">
        <v>2520</v>
      </c>
      <c r="H358" s="2">
        <v>86520</v>
      </c>
      <c r="I358">
        <v>0</v>
      </c>
      <c r="J358" s="2">
        <v>84000</v>
      </c>
      <c r="K358">
        <v>0</v>
      </c>
      <c r="L358" s="2">
        <v>84000</v>
      </c>
      <c r="M358" s="1">
        <v>0</v>
      </c>
      <c r="N358" s="1">
        <v>0</v>
      </c>
    </row>
    <row r="359" spans="1:14" x14ac:dyDescent="0.3">
      <c r="A359" t="str">
        <v>E0358</v>
      </c>
      <c r="B359" t="str">
        <v>Administration</v>
      </c>
      <c r="C359" t="str">
        <v>Administrative Coordinator</v>
      </c>
      <c r="D359" s="2">
        <v>55300</v>
      </c>
      <c r="E359" s="2">
        <v>58000</v>
      </c>
      <c r="F359" s="3">
        <v>0.95344827586206893</v>
      </c>
      <c r="G359" s="2">
        <v>1659</v>
      </c>
      <c r="H359" s="2">
        <v>56959</v>
      </c>
      <c r="I359">
        <v>0</v>
      </c>
      <c r="J359" s="2">
        <v>55300</v>
      </c>
      <c r="K359">
        <v>0</v>
      </c>
      <c r="L359" s="2">
        <v>55300</v>
      </c>
      <c r="M359" s="1">
        <v>0</v>
      </c>
      <c r="N359" s="1">
        <v>0</v>
      </c>
    </row>
    <row r="360" spans="1:14" x14ac:dyDescent="0.3">
      <c r="A360" t="str">
        <v>E0359</v>
      </c>
      <c r="B360" t="str">
        <v>Finance</v>
      </c>
      <c r="C360" t="str">
        <v>Finance Assistant</v>
      </c>
      <c r="D360" s="2">
        <v>42900</v>
      </c>
      <c r="E360" s="2">
        <v>52000</v>
      </c>
      <c r="F360" s="3">
        <v>0.82499999999999996</v>
      </c>
      <c r="G360" s="2">
        <v>1287</v>
      </c>
      <c r="H360" s="2">
        <v>44187</v>
      </c>
      <c r="I360">
        <v>3900</v>
      </c>
      <c r="J360" s="2">
        <v>46800</v>
      </c>
      <c r="K360">
        <v>6500</v>
      </c>
      <c r="L360" s="2">
        <v>49400</v>
      </c>
      <c r="M360" s="1">
        <v>1</v>
      </c>
      <c r="N360" s="1">
        <v>1</v>
      </c>
    </row>
    <row r="361" spans="1:14" x14ac:dyDescent="0.3">
      <c r="A361" t="str">
        <v>E0360</v>
      </c>
      <c r="B361" t="str">
        <v>Policy &amp; Research</v>
      </c>
      <c r="C361" t="str">
        <v>Policy Analyst</v>
      </c>
      <c r="D361" s="2">
        <v>63400</v>
      </c>
      <c r="E361" s="2">
        <v>72000</v>
      </c>
      <c r="F361" s="3">
        <v>0.88055555555555554</v>
      </c>
      <c r="G361" s="2">
        <v>1902</v>
      </c>
      <c r="H361" s="2">
        <v>65302</v>
      </c>
      <c r="I361">
        <v>1400</v>
      </c>
      <c r="J361" s="2">
        <v>64800</v>
      </c>
      <c r="K361">
        <v>5000</v>
      </c>
      <c r="L361" s="2">
        <v>68400</v>
      </c>
      <c r="M361" s="1">
        <v>1</v>
      </c>
      <c r="N361" s="1">
        <v>1</v>
      </c>
    </row>
    <row r="362" spans="1:14" x14ac:dyDescent="0.3">
      <c r="A362" t="str">
        <v>E0361</v>
      </c>
      <c r="B362" t="str">
        <v>Finance</v>
      </c>
      <c r="C362" t="str">
        <v>Finance Assistant</v>
      </c>
      <c r="D362" s="2">
        <v>48100</v>
      </c>
      <c r="E362" s="2">
        <v>52000</v>
      </c>
      <c r="F362" s="3">
        <v>0.92500000000000004</v>
      </c>
      <c r="G362" s="2">
        <v>1443</v>
      </c>
      <c r="H362" s="2">
        <v>49543</v>
      </c>
      <c r="I362">
        <v>0</v>
      </c>
      <c r="J362" s="2">
        <v>48100</v>
      </c>
      <c r="K362">
        <v>1300</v>
      </c>
      <c r="L362" s="2">
        <v>49400</v>
      </c>
      <c r="M362" s="1">
        <v>0</v>
      </c>
      <c r="N362" s="1">
        <v>1</v>
      </c>
    </row>
    <row r="363" spans="1:14" x14ac:dyDescent="0.3">
      <c r="A363" t="str">
        <v>E0362</v>
      </c>
      <c r="B363" t="str">
        <v>Policy &amp; Research</v>
      </c>
      <c r="C363" t="str">
        <v>Senior Policy Analyst</v>
      </c>
      <c r="D363" s="2">
        <v>75400</v>
      </c>
      <c r="E363" s="2">
        <v>90000</v>
      </c>
      <c r="F363" s="3">
        <v>0.83777777777777773</v>
      </c>
      <c r="G363" s="2">
        <v>2262</v>
      </c>
      <c r="H363" s="2">
        <v>77662</v>
      </c>
      <c r="I363">
        <v>5600</v>
      </c>
      <c r="J363" s="2">
        <v>81000</v>
      </c>
      <c r="K363">
        <v>10100</v>
      </c>
      <c r="L363" s="2">
        <v>85500</v>
      </c>
      <c r="M363" s="1">
        <v>1</v>
      </c>
      <c r="N363" s="1">
        <v>1</v>
      </c>
    </row>
    <row r="364" spans="1:14" x14ac:dyDescent="0.3">
      <c r="A364" t="str">
        <v>E0363</v>
      </c>
      <c r="B364" t="str">
        <v>Finance</v>
      </c>
      <c r="C364" t="str">
        <v>Finance Assistant</v>
      </c>
      <c r="D364" s="2">
        <v>49600</v>
      </c>
      <c r="E364" s="2">
        <v>52000</v>
      </c>
      <c r="F364" s="3">
        <v>0.9538461538461539</v>
      </c>
      <c r="G364" s="2">
        <v>1488</v>
      </c>
      <c r="H364" s="2">
        <v>51088</v>
      </c>
      <c r="I364">
        <v>0</v>
      </c>
      <c r="J364" s="2">
        <v>49600</v>
      </c>
      <c r="K364">
        <v>0</v>
      </c>
      <c r="L364" s="2">
        <v>49600</v>
      </c>
      <c r="M364" s="1">
        <v>0</v>
      </c>
      <c r="N364" s="1">
        <v>0</v>
      </c>
    </row>
    <row r="365" spans="1:14" x14ac:dyDescent="0.3">
      <c r="A365" t="str">
        <v>E0364</v>
      </c>
      <c r="B365" t="str">
        <v>Information Technology</v>
      </c>
      <c r="C365" t="str">
        <v>Senior Systems Analyst</v>
      </c>
      <c r="D365" s="2">
        <v>91700</v>
      </c>
      <c r="E365" s="2">
        <v>98000</v>
      </c>
      <c r="F365" s="3">
        <v>0.93571428571428572</v>
      </c>
      <c r="G365" s="2">
        <v>2751</v>
      </c>
      <c r="H365" s="2">
        <v>94451</v>
      </c>
      <c r="I365">
        <v>0</v>
      </c>
      <c r="J365" s="2">
        <v>91700</v>
      </c>
      <c r="K365">
        <v>1400</v>
      </c>
      <c r="L365" s="2">
        <v>93100</v>
      </c>
      <c r="M365" s="1">
        <v>0</v>
      </c>
      <c r="N365" s="1">
        <v>1</v>
      </c>
    </row>
    <row r="366" spans="1:14" x14ac:dyDescent="0.3">
      <c r="A366" t="str">
        <v>E0365</v>
      </c>
      <c r="B366" t="str">
        <v>Operations</v>
      </c>
      <c r="C366" t="str">
        <v>Operations Assistant</v>
      </c>
      <c r="D366" s="2">
        <v>55900</v>
      </c>
      <c r="E366" s="2">
        <v>50000</v>
      </c>
      <c r="F366" s="3">
        <v>1.1180000000000001</v>
      </c>
      <c r="G366" s="2">
        <v>1677</v>
      </c>
      <c r="H366" s="2">
        <v>57577</v>
      </c>
      <c r="I366">
        <v>0</v>
      </c>
      <c r="J366" s="2">
        <v>55900</v>
      </c>
      <c r="K366">
        <v>0</v>
      </c>
      <c r="L366" s="2">
        <v>55900</v>
      </c>
      <c r="M366" s="1">
        <v>0</v>
      </c>
      <c r="N366" s="1">
        <v>0</v>
      </c>
    </row>
    <row r="367" spans="1:14" x14ac:dyDescent="0.3">
      <c r="A367" t="str">
        <v>E0366</v>
      </c>
      <c r="B367" t="str">
        <v>Finance</v>
      </c>
      <c r="C367" t="str">
        <v>Financial Analyst</v>
      </c>
      <c r="D367" s="2">
        <v>73000</v>
      </c>
      <c r="E367" s="2">
        <v>70000</v>
      </c>
      <c r="F367" s="3">
        <v>1.0428571428571429</v>
      </c>
      <c r="G367" s="2">
        <v>2190</v>
      </c>
      <c r="H367" s="2">
        <v>75190</v>
      </c>
      <c r="I367">
        <v>0</v>
      </c>
      <c r="J367" s="2">
        <v>73000</v>
      </c>
      <c r="K367">
        <v>0</v>
      </c>
      <c r="L367" s="2">
        <v>73000</v>
      </c>
      <c r="M367" s="1">
        <v>0</v>
      </c>
      <c r="N367" s="1">
        <v>0</v>
      </c>
    </row>
    <row r="368" spans="1:14" x14ac:dyDescent="0.3">
      <c r="A368" t="str">
        <v>E0367</v>
      </c>
      <c r="B368" t="str">
        <v>Human Resources</v>
      </c>
      <c r="C368" t="str">
        <v>HR Advisor</v>
      </c>
      <c r="D368" s="2">
        <v>82600</v>
      </c>
      <c r="E368" s="2">
        <v>82000</v>
      </c>
      <c r="F368" s="3">
        <v>1.0073170731707317</v>
      </c>
      <c r="G368" s="2">
        <v>2478</v>
      </c>
      <c r="H368" s="2">
        <v>85078</v>
      </c>
      <c r="I368">
        <v>0</v>
      </c>
      <c r="J368" s="2">
        <v>82600</v>
      </c>
      <c r="K368">
        <v>0</v>
      </c>
      <c r="L368" s="2">
        <v>82600</v>
      </c>
      <c r="M368" s="1">
        <v>0</v>
      </c>
      <c r="N368" s="1">
        <v>0</v>
      </c>
    </row>
    <row r="369" spans="1:14" x14ac:dyDescent="0.3">
      <c r="A369" t="str">
        <v>E0368</v>
      </c>
      <c r="B369" t="str">
        <v>Policy &amp; Research</v>
      </c>
      <c r="C369" t="str">
        <v>Policy Analyst</v>
      </c>
      <c r="D369" s="2">
        <v>80100</v>
      </c>
      <c r="E369" s="2">
        <v>72000</v>
      </c>
      <c r="F369" s="3">
        <v>1.1125</v>
      </c>
      <c r="G369" s="2">
        <v>2403</v>
      </c>
      <c r="H369" s="2">
        <v>82503</v>
      </c>
      <c r="I369">
        <v>0</v>
      </c>
      <c r="J369" s="2">
        <v>80100</v>
      </c>
      <c r="K369">
        <v>0</v>
      </c>
      <c r="L369" s="2">
        <v>80100</v>
      </c>
      <c r="M369" s="1">
        <v>0</v>
      </c>
      <c r="N369" s="1">
        <v>0</v>
      </c>
    </row>
    <row r="370" spans="1:14" x14ac:dyDescent="0.3">
      <c r="A370" t="str">
        <v>E0369</v>
      </c>
      <c r="B370" t="str">
        <v>Administration</v>
      </c>
      <c r="C370" t="str">
        <v>Office Manager</v>
      </c>
      <c r="D370" s="2">
        <v>63700</v>
      </c>
      <c r="E370" s="2">
        <v>72000</v>
      </c>
      <c r="F370" s="3">
        <v>0.88472222222222219</v>
      </c>
      <c r="G370" s="2">
        <v>1911</v>
      </c>
      <c r="H370" s="2">
        <v>65611</v>
      </c>
      <c r="I370">
        <v>1100</v>
      </c>
      <c r="J370" s="2">
        <v>64800</v>
      </c>
      <c r="K370">
        <v>4700</v>
      </c>
      <c r="L370" s="2">
        <v>68400</v>
      </c>
      <c r="M370" s="1">
        <v>1</v>
      </c>
      <c r="N370" s="1">
        <v>1</v>
      </c>
    </row>
    <row r="371" spans="1:14" x14ac:dyDescent="0.3">
      <c r="A371" t="str">
        <v>E0370</v>
      </c>
      <c r="B371" t="str">
        <v>Information Technology</v>
      </c>
      <c r="C371" t="str">
        <v>IT Support Analyst</v>
      </c>
      <c r="D371" s="2">
        <v>48000</v>
      </c>
      <c r="E371" s="2">
        <v>58000</v>
      </c>
      <c r="F371" s="3">
        <v>0.82758620689655171</v>
      </c>
      <c r="G371" s="2">
        <v>1440</v>
      </c>
      <c r="H371" s="2">
        <v>49440</v>
      </c>
      <c r="I371">
        <v>4200</v>
      </c>
      <c r="J371" s="2">
        <v>52200</v>
      </c>
      <c r="K371">
        <v>7100</v>
      </c>
      <c r="L371" s="2">
        <v>55100</v>
      </c>
      <c r="M371" s="1">
        <v>1</v>
      </c>
      <c r="N371" s="1">
        <v>1</v>
      </c>
    </row>
    <row r="372" spans="1:14" x14ac:dyDescent="0.3">
      <c r="A372" t="str">
        <v>E0371</v>
      </c>
      <c r="B372" t="str">
        <v>Information Technology</v>
      </c>
      <c r="C372" t="str">
        <v>IT Support Analyst</v>
      </c>
      <c r="D372" s="2">
        <v>61100</v>
      </c>
      <c r="E372" s="2">
        <v>58000</v>
      </c>
      <c r="F372" s="3">
        <v>1.0534482758620689</v>
      </c>
      <c r="G372" s="2">
        <v>1833</v>
      </c>
      <c r="H372" s="2">
        <v>62933</v>
      </c>
      <c r="I372">
        <v>0</v>
      </c>
      <c r="J372" s="2">
        <v>61100</v>
      </c>
      <c r="K372">
        <v>0</v>
      </c>
      <c r="L372" s="2">
        <v>61100</v>
      </c>
      <c r="M372" s="1">
        <v>0</v>
      </c>
      <c r="N372" s="1">
        <v>0</v>
      </c>
    </row>
    <row r="373" spans="1:14" x14ac:dyDescent="0.3">
      <c r="A373" t="str">
        <v>E0372</v>
      </c>
      <c r="B373" t="str">
        <v>Finance</v>
      </c>
      <c r="C373" t="str">
        <v>Senior Financial Analyst</v>
      </c>
      <c r="D373" s="2">
        <v>84600</v>
      </c>
      <c r="E373" s="2">
        <v>88000</v>
      </c>
      <c r="F373" s="3">
        <v>0.96136363636363631</v>
      </c>
      <c r="G373" s="2">
        <v>2538</v>
      </c>
      <c r="H373" s="2">
        <v>87138</v>
      </c>
      <c r="I373">
        <v>0</v>
      </c>
      <c r="J373" s="2">
        <v>84600</v>
      </c>
      <c r="K373">
        <v>0</v>
      </c>
      <c r="L373" s="2">
        <v>84600</v>
      </c>
      <c r="M373" s="1">
        <v>0</v>
      </c>
      <c r="N373" s="1">
        <v>0</v>
      </c>
    </row>
    <row r="374" spans="1:14" x14ac:dyDescent="0.3">
      <c r="A374" t="str">
        <v>E0373</v>
      </c>
      <c r="B374" t="str">
        <v>Human Resources</v>
      </c>
      <c r="C374" t="str">
        <v>HR Analyst</v>
      </c>
      <c r="D374" s="2">
        <v>54400</v>
      </c>
      <c r="E374" s="2">
        <v>68000</v>
      </c>
      <c r="F374" s="3">
        <v>0.8</v>
      </c>
      <c r="G374" s="2">
        <v>1632</v>
      </c>
      <c r="H374" s="2">
        <v>56032</v>
      </c>
      <c r="I374">
        <v>6800</v>
      </c>
      <c r="J374" s="2">
        <v>61200</v>
      </c>
      <c r="K374">
        <v>10200</v>
      </c>
      <c r="L374" s="2">
        <v>64600</v>
      </c>
      <c r="M374" s="1">
        <v>1</v>
      </c>
      <c r="N374" s="1">
        <v>1</v>
      </c>
    </row>
    <row r="375" spans="1:14" x14ac:dyDescent="0.3">
      <c r="A375" t="str">
        <v>E0374</v>
      </c>
      <c r="B375" t="str">
        <v>Human Resources</v>
      </c>
      <c r="C375" t="str">
        <v>HR Analyst</v>
      </c>
      <c r="D375" s="2">
        <v>55600</v>
      </c>
      <c r="E375" s="2">
        <v>68000</v>
      </c>
      <c r="F375" s="3">
        <v>0.81764705882352939</v>
      </c>
      <c r="G375" s="2">
        <v>1668</v>
      </c>
      <c r="H375" s="2">
        <v>57268</v>
      </c>
      <c r="I375">
        <v>5600</v>
      </c>
      <c r="J375" s="2">
        <v>61200</v>
      </c>
      <c r="K375">
        <v>9000</v>
      </c>
      <c r="L375" s="2">
        <v>64600</v>
      </c>
      <c r="M375" s="1">
        <v>1</v>
      </c>
      <c r="N375" s="1">
        <v>1</v>
      </c>
    </row>
    <row r="376" spans="1:14" x14ac:dyDescent="0.3">
      <c r="A376" t="str">
        <v>E0375</v>
      </c>
      <c r="B376" t="str">
        <v>Information Technology</v>
      </c>
      <c r="C376" t="str">
        <v>Systems Analyst</v>
      </c>
      <c r="D376" s="2">
        <v>84300</v>
      </c>
      <c r="E376" s="2">
        <v>78000</v>
      </c>
      <c r="F376" s="3">
        <v>1.0807692307692307</v>
      </c>
      <c r="G376" s="2">
        <v>2529</v>
      </c>
      <c r="H376" s="2">
        <v>86829</v>
      </c>
      <c r="I376">
        <v>0</v>
      </c>
      <c r="J376" s="2">
        <v>84300</v>
      </c>
      <c r="K376">
        <v>0</v>
      </c>
      <c r="L376" s="2">
        <v>84300</v>
      </c>
      <c r="M376" s="1">
        <v>0</v>
      </c>
      <c r="N376" s="1">
        <v>0</v>
      </c>
    </row>
    <row r="377" spans="1:14" x14ac:dyDescent="0.3">
      <c r="A377" t="str">
        <v>E0376</v>
      </c>
      <c r="B377" t="str">
        <v>Finance</v>
      </c>
      <c r="C377" t="str">
        <v>Financial Analyst</v>
      </c>
      <c r="D377" s="2">
        <v>71400</v>
      </c>
      <c r="E377" s="2">
        <v>70000</v>
      </c>
      <c r="F377" s="3">
        <v>1.02</v>
      </c>
      <c r="G377" s="2">
        <v>2142</v>
      </c>
      <c r="H377" s="2">
        <v>73542</v>
      </c>
      <c r="I377">
        <v>0</v>
      </c>
      <c r="J377" s="2">
        <v>71400</v>
      </c>
      <c r="K377">
        <v>0</v>
      </c>
      <c r="L377" s="2">
        <v>71400</v>
      </c>
      <c r="M377" s="1">
        <v>0</v>
      </c>
      <c r="N377" s="1">
        <v>0</v>
      </c>
    </row>
    <row r="378" spans="1:14" x14ac:dyDescent="0.3">
      <c r="A378" t="str">
        <v>E0377</v>
      </c>
      <c r="B378" t="str">
        <v>Information Technology</v>
      </c>
      <c r="C378" t="str">
        <v>Senior Systems Analyst</v>
      </c>
      <c r="D378" s="2">
        <v>85700</v>
      </c>
      <c r="E378" s="2">
        <v>98000</v>
      </c>
      <c r="F378" s="3">
        <v>0.8744897959183674</v>
      </c>
      <c r="G378" s="2">
        <v>2571</v>
      </c>
      <c r="H378" s="2">
        <v>88271</v>
      </c>
      <c r="I378">
        <v>2500</v>
      </c>
      <c r="J378" s="2">
        <v>88200</v>
      </c>
      <c r="K378">
        <v>7400</v>
      </c>
      <c r="L378" s="2">
        <v>93100</v>
      </c>
      <c r="M378" s="1">
        <v>1</v>
      </c>
      <c r="N378" s="1">
        <v>1</v>
      </c>
    </row>
    <row r="379" spans="1:14" x14ac:dyDescent="0.3">
      <c r="A379" t="str">
        <v>E0378</v>
      </c>
      <c r="B379" t="str">
        <v>Operations</v>
      </c>
      <c r="C379" t="str">
        <v>Operations Assistant</v>
      </c>
      <c r="D379" s="2">
        <v>51400</v>
      </c>
      <c r="E379" s="2">
        <v>50000</v>
      </c>
      <c r="F379" s="3">
        <v>1.028</v>
      </c>
      <c r="G379" s="2">
        <v>1542</v>
      </c>
      <c r="H379" s="2">
        <v>52942</v>
      </c>
      <c r="I379">
        <v>0</v>
      </c>
      <c r="J379" s="2">
        <v>51400</v>
      </c>
      <c r="K379">
        <v>0</v>
      </c>
      <c r="L379" s="2">
        <v>51400</v>
      </c>
      <c r="M379" s="1">
        <v>0</v>
      </c>
      <c r="N379" s="1">
        <v>0</v>
      </c>
    </row>
    <row r="380" spans="1:14" x14ac:dyDescent="0.3">
      <c r="A380" t="str">
        <v>E0379</v>
      </c>
      <c r="B380" t="str">
        <v>Finance</v>
      </c>
      <c r="C380" t="str">
        <v>Senior Financial Analyst</v>
      </c>
      <c r="D380" s="2">
        <v>72700</v>
      </c>
      <c r="E380" s="2">
        <v>88000</v>
      </c>
      <c r="F380" s="3">
        <v>0.82613636363636367</v>
      </c>
      <c r="G380" s="2">
        <v>2181</v>
      </c>
      <c r="H380" s="2">
        <v>74881</v>
      </c>
      <c r="I380">
        <v>6500</v>
      </c>
      <c r="J380" s="2">
        <v>79200</v>
      </c>
      <c r="K380">
        <v>10900</v>
      </c>
      <c r="L380" s="2">
        <v>83600</v>
      </c>
      <c r="M380" s="1">
        <v>1</v>
      </c>
      <c r="N380" s="1">
        <v>1</v>
      </c>
    </row>
    <row r="381" spans="1:14" x14ac:dyDescent="0.3">
      <c r="A381" t="str">
        <v>E0380</v>
      </c>
      <c r="B381" t="str">
        <v>Policy &amp; Research</v>
      </c>
      <c r="C381" t="str">
        <v>Policy Analyst</v>
      </c>
      <c r="D381" s="2">
        <v>68600</v>
      </c>
      <c r="E381" s="2">
        <v>72000</v>
      </c>
      <c r="F381" s="3">
        <v>0.95277777777777772</v>
      </c>
      <c r="G381" s="2">
        <v>2058</v>
      </c>
      <c r="H381" s="2">
        <v>70658</v>
      </c>
      <c r="I381">
        <v>0</v>
      </c>
      <c r="J381" s="2">
        <v>68600</v>
      </c>
      <c r="K381">
        <v>0</v>
      </c>
      <c r="L381" s="2">
        <v>68600</v>
      </c>
      <c r="M381" s="1">
        <v>0</v>
      </c>
      <c r="N381" s="1">
        <v>0</v>
      </c>
    </row>
    <row r="382" spans="1:14" x14ac:dyDescent="0.3">
      <c r="A382" t="str">
        <v>E0381</v>
      </c>
      <c r="B382" t="str">
        <v>Finance</v>
      </c>
      <c r="C382" t="str">
        <v>Finance Assistant</v>
      </c>
      <c r="D382" s="2">
        <v>43100</v>
      </c>
      <c r="E382" s="2">
        <v>52000</v>
      </c>
      <c r="F382" s="3">
        <v>0.8288461538461539</v>
      </c>
      <c r="G382" s="2">
        <v>1293</v>
      </c>
      <c r="H382" s="2">
        <v>44393</v>
      </c>
      <c r="I382">
        <v>3700</v>
      </c>
      <c r="J382" s="2">
        <v>46800</v>
      </c>
      <c r="K382">
        <v>6300</v>
      </c>
      <c r="L382" s="2">
        <v>49400</v>
      </c>
      <c r="M382" s="1">
        <v>1</v>
      </c>
      <c r="N382" s="1">
        <v>1</v>
      </c>
    </row>
    <row r="383" spans="1:14" x14ac:dyDescent="0.3">
      <c r="A383" t="str">
        <v>E0382</v>
      </c>
      <c r="B383" t="str">
        <v>Administration</v>
      </c>
      <c r="C383" t="str">
        <v>Office Manager</v>
      </c>
      <c r="D383" s="2">
        <v>63200</v>
      </c>
      <c r="E383" s="2">
        <v>72000</v>
      </c>
      <c r="F383" s="3">
        <v>0.87777777777777777</v>
      </c>
      <c r="G383" s="2">
        <v>1896</v>
      </c>
      <c r="H383" s="2">
        <v>65096</v>
      </c>
      <c r="I383">
        <v>1600</v>
      </c>
      <c r="J383" s="2">
        <v>64800</v>
      </c>
      <c r="K383">
        <v>5200</v>
      </c>
      <c r="L383" s="2">
        <v>68400</v>
      </c>
      <c r="M383" s="1">
        <v>1</v>
      </c>
      <c r="N383" s="1">
        <v>1</v>
      </c>
    </row>
    <row r="384" spans="1:14" x14ac:dyDescent="0.3">
      <c r="A384" t="str">
        <v>E0383</v>
      </c>
      <c r="B384" t="str">
        <v>Finance</v>
      </c>
      <c r="C384" t="str">
        <v>Financial Analyst</v>
      </c>
      <c r="D384" s="2">
        <v>68300</v>
      </c>
      <c r="E384" s="2">
        <v>70000</v>
      </c>
      <c r="F384" s="3">
        <v>0.97571428571428576</v>
      </c>
      <c r="G384" s="2">
        <v>2049</v>
      </c>
      <c r="H384" s="2">
        <v>70349</v>
      </c>
      <c r="I384">
        <v>0</v>
      </c>
      <c r="J384" s="2">
        <v>68300</v>
      </c>
      <c r="K384">
        <v>0</v>
      </c>
      <c r="L384" s="2">
        <v>68300</v>
      </c>
      <c r="M384" s="1">
        <v>0</v>
      </c>
      <c r="N384" s="1">
        <v>0</v>
      </c>
    </row>
    <row r="385" spans="1:14" x14ac:dyDescent="0.3">
      <c r="A385" t="str">
        <v>E0384</v>
      </c>
      <c r="B385" t="str">
        <v>Policy &amp; Research</v>
      </c>
      <c r="C385" t="str">
        <v>Policy Analyst</v>
      </c>
      <c r="D385" s="2">
        <v>68400</v>
      </c>
      <c r="E385" s="2">
        <v>72000</v>
      </c>
      <c r="F385" s="3">
        <v>0.95</v>
      </c>
      <c r="G385" s="2">
        <v>2052</v>
      </c>
      <c r="H385" s="2">
        <v>70452</v>
      </c>
      <c r="I385">
        <v>0</v>
      </c>
      <c r="J385" s="2">
        <v>68400</v>
      </c>
      <c r="K385">
        <v>0</v>
      </c>
      <c r="L385" s="2">
        <v>68400</v>
      </c>
      <c r="M385" s="1">
        <v>0</v>
      </c>
      <c r="N385" s="1">
        <v>0</v>
      </c>
    </row>
    <row r="386" spans="1:14" x14ac:dyDescent="0.3">
      <c r="A386" t="str">
        <v>E0385</v>
      </c>
      <c r="B386" t="str">
        <v>Finance</v>
      </c>
      <c r="C386" t="str">
        <v>Financial Analyst</v>
      </c>
      <c r="D386" s="2">
        <v>69100</v>
      </c>
      <c r="E386" s="2">
        <v>70000</v>
      </c>
      <c r="F386" s="3">
        <v>0.9871428571428571</v>
      </c>
      <c r="G386" s="2">
        <v>2073</v>
      </c>
      <c r="H386" s="2">
        <v>71173</v>
      </c>
      <c r="I386">
        <v>0</v>
      </c>
      <c r="J386" s="2">
        <v>69100</v>
      </c>
      <c r="K386">
        <v>0</v>
      </c>
      <c r="L386" s="2">
        <v>69100</v>
      </c>
      <c r="M386" s="1">
        <v>0</v>
      </c>
      <c r="N386" s="1">
        <v>0</v>
      </c>
    </row>
    <row r="387" spans="1:14" x14ac:dyDescent="0.3">
      <c r="A387" t="str">
        <v>E0386</v>
      </c>
      <c r="B387" t="str">
        <v>Operations</v>
      </c>
      <c r="C387" t="str">
        <v>Operations Analyst</v>
      </c>
      <c r="D387" s="2">
        <v>78200</v>
      </c>
      <c r="E387" s="2">
        <v>68000</v>
      </c>
      <c r="F387" s="3">
        <v>1.1499999999999999</v>
      </c>
      <c r="G387" s="2">
        <v>2346</v>
      </c>
      <c r="H387" s="2">
        <v>80546</v>
      </c>
      <c r="I387">
        <v>0</v>
      </c>
      <c r="J387" s="2">
        <v>78200</v>
      </c>
      <c r="K387">
        <v>0</v>
      </c>
      <c r="L387" s="2">
        <v>78200</v>
      </c>
      <c r="M387" s="1">
        <v>0</v>
      </c>
      <c r="N387" s="1">
        <v>0</v>
      </c>
    </row>
    <row r="388" spans="1:14" x14ac:dyDescent="0.3">
      <c r="A388" t="str">
        <v>E0387</v>
      </c>
      <c r="B388" t="str">
        <v>Information Technology</v>
      </c>
      <c r="C388" t="str">
        <v>Systems Analyst</v>
      </c>
      <c r="D388" s="2">
        <v>79700</v>
      </c>
      <c r="E388" s="2">
        <v>78000</v>
      </c>
      <c r="F388" s="3">
        <v>1.0217948717948717</v>
      </c>
      <c r="G388" s="2">
        <v>2391</v>
      </c>
      <c r="H388" s="2">
        <v>82091</v>
      </c>
      <c r="I388">
        <v>0</v>
      </c>
      <c r="J388" s="2">
        <v>79700</v>
      </c>
      <c r="K388">
        <v>0</v>
      </c>
      <c r="L388" s="2">
        <v>79700</v>
      </c>
      <c r="M388" s="1">
        <v>0</v>
      </c>
      <c r="N388" s="1">
        <v>0</v>
      </c>
    </row>
    <row r="389" spans="1:14" x14ac:dyDescent="0.3">
      <c r="A389" t="str">
        <v>E0388</v>
      </c>
      <c r="B389" t="str">
        <v>Finance</v>
      </c>
      <c r="C389" t="str">
        <v>Finance Assistant</v>
      </c>
      <c r="D389" s="2">
        <v>50000</v>
      </c>
      <c r="E389" s="2">
        <v>52000</v>
      </c>
      <c r="F389" s="3">
        <v>0.96153846153846156</v>
      </c>
      <c r="G389" s="2">
        <v>1500</v>
      </c>
      <c r="H389" s="2">
        <v>51500</v>
      </c>
      <c r="I389">
        <v>0</v>
      </c>
      <c r="J389" s="2">
        <v>50000</v>
      </c>
      <c r="K389">
        <v>0</v>
      </c>
      <c r="L389" s="2">
        <v>50000</v>
      </c>
      <c r="M389" s="1">
        <v>0</v>
      </c>
      <c r="N389" s="1">
        <v>0</v>
      </c>
    </row>
    <row r="390" spans="1:14" x14ac:dyDescent="0.3">
      <c r="A390" t="str">
        <v>E0389</v>
      </c>
      <c r="B390" t="str">
        <v>Operations</v>
      </c>
      <c r="C390" t="str">
        <v>Operations Assistant</v>
      </c>
      <c r="D390" s="2">
        <v>44900</v>
      </c>
      <c r="E390" s="2">
        <v>50000</v>
      </c>
      <c r="F390" s="3">
        <v>0.89800000000000002</v>
      </c>
      <c r="G390" s="2">
        <v>1347</v>
      </c>
      <c r="H390" s="2">
        <v>46247</v>
      </c>
      <c r="I390">
        <v>100</v>
      </c>
      <c r="J390" s="2">
        <v>45000</v>
      </c>
      <c r="K390">
        <v>2600</v>
      </c>
      <c r="L390" s="2">
        <v>47500</v>
      </c>
      <c r="M390" s="1">
        <v>1</v>
      </c>
      <c r="N390" s="1">
        <v>1</v>
      </c>
    </row>
    <row r="391" spans="1:14" x14ac:dyDescent="0.3">
      <c r="A391" t="str">
        <v>E0390</v>
      </c>
      <c r="B391" t="str">
        <v>Human Resources</v>
      </c>
      <c r="C391" t="str">
        <v>HR Assistant</v>
      </c>
      <c r="D391" s="2">
        <v>52200</v>
      </c>
      <c r="E391" s="2">
        <v>50000</v>
      </c>
      <c r="F391" s="3">
        <v>1.044</v>
      </c>
      <c r="G391" s="2">
        <v>1566</v>
      </c>
      <c r="H391" s="2">
        <v>53766</v>
      </c>
      <c r="I391">
        <v>0</v>
      </c>
      <c r="J391" s="2">
        <v>52200</v>
      </c>
      <c r="K391">
        <v>0</v>
      </c>
      <c r="L391" s="2">
        <v>52200</v>
      </c>
      <c r="M391" s="1">
        <v>0</v>
      </c>
      <c r="N391" s="1">
        <v>0</v>
      </c>
    </row>
    <row r="392" spans="1:14" x14ac:dyDescent="0.3">
      <c r="A392" t="str">
        <v>E0391</v>
      </c>
      <c r="B392" t="str">
        <v>Policy &amp; Research</v>
      </c>
      <c r="C392" t="str">
        <v>Policy Analyst</v>
      </c>
      <c r="D392" s="2">
        <v>57000</v>
      </c>
      <c r="E392" s="2">
        <v>72000</v>
      </c>
      <c r="F392" s="3">
        <v>0.79166666666666663</v>
      </c>
      <c r="G392" s="2">
        <v>1710</v>
      </c>
      <c r="H392" s="2">
        <v>58710</v>
      </c>
      <c r="I392">
        <v>7800</v>
      </c>
      <c r="J392" s="2">
        <v>64800</v>
      </c>
      <c r="K392">
        <v>11400</v>
      </c>
      <c r="L392" s="2">
        <v>68400</v>
      </c>
      <c r="M392" s="1">
        <v>1</v>
      </c>
      <c r="N392" s="1">
        <v>1</v>
      </c>
    </row>
    <row r="393" spans="1:14" x14ac:dyDescent="0.3">
      <c r="A393" t="str">
        <v>E0392</v>
      </c>
      <c r="B393" t="str">
        <v>Policy &amp; Research</v>
      </c>
      <c r="C393" t="str">
        <v>Research Assistant</v>
      </c>
      <c r="D393" s="2">
        <v>49600</v>
      </c>
      <c r="E393" s="2">
        <v>52000</v>
      </c>
      <c r="F393" s="3">
        <v>0.9538461538461539</v>
      </c>
      <c r="G393" s="2">
        <v>1488</v>
      </c>
      <c r="H393" s="2">
        <v>51088</v>
      </c>
      <c r="I393">
        <v>0</v>
      </c>
      <c r="J393" s="2">
        <v>49600</v>
      </c>
      <c r="K393">
        <v>0</v>
      </c>
      <c r="L393" s="2">
        <v>49600</v>
      </c>
      <c r="M393" s="1">
        <v>0</v>
      </c>
      <c r="N393" s="1">
        <v>0</v>
      </c>
    </row>
    <row r="394" spans="1:14" x14ac:dyDescent="0.3">
      <c r="A394" t="str">
        <v>E0393</v>
      </c>
      <c r="B394" t="str">
        <v>Policy &amp; Research</v>
      </c>
      <c r="C394" t="str">
        <v>Senior Policy Analyst</v>
      </c>
      <c r="D394" s="2">
        <v>85900</v>
      </c>
      <c r="E394" s="2">
        <v>90000</v>
      </c>
      <c r="F394" s="3">
        <v>0.95444444444444443</v>
      </c>
      <c r="G394" s="2">
        <v>2577</v>
      </c>
      <c r="H394" s="2">
        <v>88477</v>
      </c>
      <c r="I394">
        <v>0</v>
      </c>
      <c r="J394" s="2">
        <v>85900</v>
      </c>
      <c r="K394">
        <v>0</v>
      </c>
      <c r="L394" s="2">
        <v>85900</v>
      </c>
      <c r="M394" s="1">
        <v>0</v>
      </c>
      <c r="N394" s="1">
        <v>0</v>
      </c>
    </row>
    <row r="395" spans="1:14" x14ac:dyDescent="0.3">
      <c r="A395" t="str">
        <v>E0394</v>
      </c>
      <c r="B395" t="str">
        <v>Human Resources</v>
      </c>
      <c r="C395" t="str">
        <v>HR Advisor</v>
      </c>
      <c r="D395" s="2">
        <v>76000</v>
      </c>
      <c r="E395" s="2">
        <v>82000</v>
      </c>
      <c r="F395" s="3">
        <v>0.92682926829268297</v>
      </c>
      <c r="G395" s="2">
        <v>2280</v>
      </c>
      <c r="H395" s="2">
        <v>78280</v>
      </c>
      <c r="I395">
        <v>0</v>
      </c>
      <c r="J395" s="2">
        <v>76000</v>
      </c>
      <c r="K395">
        <v>1900</v>
      </c>
      <c r="L395" s="2">
        <v>77900</v>
      </c>
      <c r="M395" s="1">
        <v>0</v>
      </c>
      <c r="N395" s="1">
        <v>1</v>
      </c>
    </row>
    <row r="396" spans="1:14" x14ac:dyDescent="0.3">
      <c r="A396" t="str">
        <v>E0395</v>
      </c>
      <c r="B396" t="str">
        <v>Finance</v>
      </c>
      <c r="C396" t="str">
        <v>Financial Analyst</v>
      </c>
      <c r="D396" s="2">
        <v>71000</v>
      </c>
      <c r="E396" s="2">
        <v>70000</v>
      </c>
      <c r="F396" s="3">
        <v>1.0142857142857142</v>
      </c>
      <c r="G396" s="2">
        <v>2130</v>
      </c>
      <c r="H396" s="2">
        <v>73130</v>
      </c>
      <c r="I396">
        <v>0</v>
      </c>
      <c r="J396" s="2">
        <v>71000</v>
      </c>
      <c r="K396">
        <v>0</v>
      </c>
      <c r="L396" s="2">
        <v>71000</v>
      </c>
      <c r="M396" s="1">
        <v>0</v>
      </c>
      <c r="N396" s="1">
        <v>0</v>
      </c>
    </row>
    <row r="397" spans="1:14" x14ac:dyDescent="0.3">
      <c r="A397" t="str">
        <v>E0396</v>
      </c>
      <c r="B397" t="str">
        <v>Administration</v>
      </c>
      <c r="C397" t="str">
        <v>Office Manager</v>
      </c>
      <c r="D397" s="2">
        <v>78300</v>
      </c>
      <c r="E397" s="2">
        <v>72000</v>
      </c>
      <c r="F397" s="3">
        <v>1.0874999999999999</v>
      </c>
      <c r="G397" s="2">
        <v>2349</v>
      </c>
      <c r="H397" s="2">
        <v>80649</v>
      </c>
      <c r="I397">
        <v>0</v>
      </c>
      <c r="J397" s="2">
        <v>78300</v>
      </c>
      <c r="K397">
        <v>0</v>
      </c>
      <c r="L397" s="2">
        <v>78300</v>
      </c>
      <c r="M397" s="1">
        <v>0</v>
      </c>
      <c r="N397" s="1">
        <v>0</v>
      </c>
    </row>
    <row r="398" spans="1:14" x14ac:dyDescent="0.3">
      <c r="A398" t="str">
        <v>E0397</v>
      </c>
      <c r="B398" t="str">
        <v>Policy &amp; Research</v>
      </c>
      <c r="C398" t="str">
        <v>Research Assistant</v>
      </c>
      <c r="D398" s="2">
        <v>47400</v>
      </c>
      <c r="E398" s="2">
        <v>52000</v>
      </c>
      <c r="F398" s="3">
        <v>0.91153846153846152</v>
      </c>
      <c r="G398" s="2">
        <v>1422</v>
      </c>
      <c r="H398" s="2">
        <v>48822</v>
      </c>
      <c r="I398">
        <v>0</v>
      </c>
      <c r="J398" s="2">
        <v>47400</v>
      </c>
      <c r="K398">
        <v>2000</v>
      </c>
      <c r="L398" s="2">
        <v>49400</v>
      </c>
      <c r="M398" s="1">
        <v>0</v>
      </c>
      <c r="N398" s="1">
        <v>1</v>
      </c>
    </row>
    <row r="399" spans="1:14" x14ac:dyDescent="0.3">
      <c r="A399" t="str">
        <v>E0398</v>
      </c>
      <c r="B399" t="str">
        <v>Information Technology</v>
      </c>
      <c r="C399" t="str">
        <v>Senior Systems Analyst</v>
      </c>
      <c r="D399" s="2">
        <v>94800</v>
      </c>
      <c r="E399" s="2">
        <v>98000</v>
      </c>
      <c r="F399" s="3">
        <v>0.96734693877551026</v>
      </c>
      <c r="G399" s="2">
        <v>2844</v>
      </c>
      <c r="H399" s="2">
        <v>97644</v>
      </c>
      <c r="I399">
        <v>0</v>
      </c>
      <c r="J399" s="2">
        <v>94800</v>
      </c>
      <c r="K399">
        <v>0</v>
      </c>
      <c r="L399" s="2">
        <v>94800</v>
      </c>
      <c r="M399" s="1">
        <v>0</v>
      </c>
      <c r="N399" s="1">
        <v>0</v>
      </c>
    </row>
    <row r="400" spans="1:14" x14ac:dyDescent="0.3">
      <c r="A400" t="str">
        <v>E0399</v>
      </c>
      <c r="B400" t="str">
        <v>Information Technology</v>
      </c>
      <c r="C400" t="str">
        <v>IT Support Analyst</v>
      </c>
      <c r="D400" s="2">
        <v>57800</v>
      </c>
      <c r="E400" s="2">
        <v>58000</v>
      </c>
      <c r="F400" s="3">
        <v>0.99655172413793103</v>
      </c>
      <c r="G400" s="2">
        <v>1734</v>
      </c>
      <c r="H400" s="2">
        <v>59534</v>
      </c>
      <c r="I400">
        <v>0</v>
      </c>
      <c r="J400" s="2">
        <v>57800</v>
      </c>
      <c r="K400">
        <v>0</v>
      </c>
      <c r="L400" s="2">
        <v>57800</v>
      </c>
      <c r="M400" s="1">
        <v>0</v>
      </c>
      <c r="N400" s="1">
        <v>0</v>
      </c>
    </row>
    <row r="401" spans="1:14" x14ac:dyDescent="0.3">
      <c r="A401" t="str">
        <v>E0400</v>
      </c>
      <c r="B401" t="str">
        <v>Policy &amp; Research</v>
      </c>
      <c r="C401" t="str">
        <v>Senior Policy Analyst</v>
      </c>
      <c r="D401" s="2">
        <v>92100</v>
      </c>
      <c r="E401" s="2">
        <v>90000</v>
      </c>
      <c r="F401" s="3">
        <v>1.0233333333333334</v>
      </c>
      <c r="G401" s="2">
        <v>2763</v>
      </c>
      <c r="H401" s="2">
        <v>94863</v>
      </c>
      <c r="I401">
        <v>0</v>
      </c>
      <c r="J401" s="2">
        <v>92100</v>
      </c>
      <c r="K401">
        <v>0</v>
      </c>
      <c r="L401" s="2">
        <v>92100</v>
      </c>
      <c r="M401" s="1">
        <v>0</v>
      </c>
      <c r="N401" s="1">
        <v>0</v>
      </c>
    </row>
    <row r="402" spans="1:14" x14ac:dyDescent="0.3">
      <c r="A402" t="str">
        <v>E0401</v>
      </c>
      <c r="B402" t="str">
        <v>Information Technology</v>
      </c>
      <c r="C402" t="str">
        <v>Systems Analyst</v>
      </c>
      <c r="D402" s="2">
        <v>77400</v>
      </c>
      <c r="E402" s="2">
        <v>78000</v>
      </c>
      <c r="F402" s="3">
        <v>0.99230769230769234</v>
      </c>
      <c r="G402" s="2">
        <v>2322</v>
      </c>
      <c r="H402" s="2">
        <v>79722</v>
      </c>
      <c r="I402">
        <v>0</v>
      </c>
      <c r="J402" s="2">
        <v>77400</v>
      </c>
      <c r="K402">
        <v>0</v>
      </c>
      <c r="L402" s="2">
        <v>77400</v>
      </c>
      <c r="M402" s="1">
        <v>0</v>
      </c>
      <c r="N402" s="1">
        <v>0</v>
      </c>
    </row>
    <row r="403" spans="1:14" x14ac:dyDescent="0.3">
      <c r="A403" t="str">
        <v>E0402</v>
      </c>
      <c r="B403" t="str">
        <v>Finance</v>
      </c>
      <c r="C403" t="str">
        <v>Financial Analyst</v>
      </c>
      <c r="D403" s="2">
        <v>65800</v>
      </c>
      <c r="E403" s="2">
        <v>70000</v>
      </c>
      <c r="F403" s="3">
        <v>0.94</v>
      </c>
      <c r="G403" s="2">
        <v>1974</v>
      </c>
      <c r="H403" s="2">
        <v>67774</v>
      </c>
      <c r="I403">
        <v>0</v>
      </c>
      <c r="J403" s="2">
        <v>65800</v>
      </c>
      <c r="K403">
        <v>700</v>
      </c>
      <c r="L403" s="2">
        <v>66500</v>
      </c>
      <c r="M403" s="1">
        <v>0</v>
      </c>
      <c r="N403" s="1">
        <v>1</v>
      </c>
    </row>
    <row r="404" spans="1:14" x14ac:dyDescent="0.3">
      <c r="A404" t="str">
        <v>E0403</v>
      </c>
      <c r="B404" t="str">
        <v>Policy &amp; Research</v>
      </c>
      <c r="C404" t="str">
        <v>Policy Analyst</v>
      </c>
      <c r="D404" s="2">
        <v>75100</v>
      </c>
      <c r="E404" s="2">
        <v>72000</v>
      </c>
      <c r="F404" s="3">
        <v>1.0430555555555556</v>
      </c>
      <c r="G404" s="2">
        <v>2253</v>
      </c>
      <c r="H404" s="2">
        <v>77353</v>
      </c>
      <c r="I404">
        <v>0</v>
      </c>
      <c r="J404" s="2">
        <v>75100</v>
      </c>
      <c r="K404">
        <v>0</v>
      </c>
      <c r="L404" s="2">
        <v>75100</v>
      </c>
      <c r="M404" s="1">
        <v>0</v>
      </c>
      <c r="N404" s="1">
        <v>0</v>
      </c>
    </row>
    <row r="405" spans="1:14" x14ac:dyDescent="0.3">
      <c r="A405" t="str">
        <v>E0404</v>
      </c>
      <c r="B405" t="str">
        <v>Policy &amp; Research</v>
      </c>
      <c r="C405" t="str">
        <v>Research Assistant</v>
      </c>
      <c r="D405" s="2">
        <v>46800</v>
      </c>
      <c r="E405" s="2">
        <v>52000</v>
      </c>
      <c r="F405" s="3">
        <v>0.9</v>
      </c>
      <c r="G405" s="2">
        <v>1404</v>
      </c>
      <c r="H405" s="2">
        <v>48204</v>
      </c>
      <c r="I405">
        <v>0</v>
      </c>
      <c r="J405" s="2">
        <v>46800</v>
      </c>
      <c r="K405">
        <v>2600</v>
      </c>
      <c r="L405" s="2">
        <v>49400</v>
      </c>
      <c r="M405" s="1">
        <v>0</v>
      </c>
      <c r="N405" s="1">
        <v>1</v>
      </c>
    </row>
    <row r="406" spans="1:14" x14ac:dyDescent="0.3">
      <c r="A406" t="str">
        <v>E0405</v>
      </c>
      <c r="B406" t="str">
        <v>Policy &amp; Research</v>
      </c>
      <c r="C406" t="str">
        <v>Research Assistant</v>
      </c>
      <c r="D406" s="2">
        <v>49300</v>
      </c>
      <c r="E406" s="2">
        <v>52000</v>
      </c>
      <c r="F406" s="3">
        <v>0.94807692307692304</v>
      </c>
      <c r="G406" s="2">
        <v>1479</v>
      </c>
      <c r="H406" s="2">
        <v>50779</v>
      </c>
      <c r="I406">
        <v>0</v>
      </c>
      <c r="J406" s="2">
        <v>49300</v>
      </c>
      <c r="K406">
        <v>100</v>
      </c>
      <c r="L406" s="2">
        <v>49400</v>
      </c>
      <c r="M406" s="1">
        <v>0</v>
      </c>
      <c r="N406" s="1">
        <v>1</v>
      </c>
    </row>
    <row r="407" spans="1:14" x14ac:dyDescent="0.3">
      <c r="A407" t="str">
        <v>E0406</v>
      </c>
      <c r="B407" t="str">
        <v>Policy &amp; Research</v>
      </c>
      <c r="C407" t="str">
        <v>Policy Analyst</v>
      </c>
      <c r="D407" s="2">
        <v>84400</v>
      </c>
      <c r="E407" s="2">
        <v>72000</v>
      </c>
      <c r="F407" s="3">
        <v>1.1722222222222223</v>
      </c>
      <c r="G407" s="2">
        <v>2532</v>
      </c>
      <c r="H407" s="2">
        <v>86932</v>
      </c>
      <c r="I407">
        <v>0</v>
      </c>
      <c r="J407" s="2">
        <v>84400</v>
      </c>
      <c r="K407">
        <v>0</v>
      </c>
      <c r="L407" s="2">
        <v>84400</v>
      </c>
      <c r="M407" s="1">
        <v>0</v>
      </c>
      <c r="N407" s="1">
        <v>0</v>
      </c>
    </row>
    <row r="408" spans="1:14" x14ac:dyDescent="0.3">
      <c r="A408" t="str">
        <v>E0407</v>
      </c>
      <c r="B408" t="str">
        <v>Information Technology</v>
      </c>
      <c r="C408" t="str">
        <v>Systems Analyst</v>
      </c>
      <c r="D408" s="2">
        <v>82000</v>
      </c>
      <c r="E408" s="2">
        <v>78000</v>
      </c>
      <c r="F408" s="3">
        <v>1.0512820512820513</v>
      </c>
      <c r="G408" s="2">
        <v>2460</v>
      </c>
      <c r="H408" s="2">
        <v>84460</v>
      </c>
      <c r="I408">
        <v>0</v>
      </c>
      <c r="J408" s="2">
        <v>82000</v>
      </c>
      <c r="K408">
        <v>0</v>
      </c>
      <c r="L408" s="2">
        <v>82000</v>
      </c>
      <c r="M408" s="1">
        <v>0</v>
      </c>
      <c r="N408" s="1">
        <v>0</v>
      </c>
    </row>
    <row r="409" spans="1:14" x14ac:dyDescent="0.3">
      <c r="A409" t="str">
        <v>E0408</v>
      </c>
      <c r="B409" t="str">
        <v>Finance</v>
      </c>
      <c r="C409" t="str">
        <v>Finance Assistant</v>
      </c>
      <c r="D409" s="2">
        <v>51100</v>
      </c>
      <c r="E409" s="2">
        <v>52000</v>
      </c>
      <c r="F409" s="3">
        <v>0.98269230769230764</v>
      </c>
      <c r="G409" s="2">
        <v>1533</v>
      </c>
      <c r="H409" s="2">
        <v>52633</v>
      </c>
      <c r="I409">
        <v>0</v>
      </c>
      <c r="J409" s="2">
        <v>51100</v>
      </c>
      <c r="K409">
        <v>0</v>
      </c>
      <c r="L409" s="2">
        <v>51100</v>
      </c>
      <c r="M409" s="1">
        <v>0</v>
      </c>
      <c r="N409" s="1">
        <v>0</v>
      </c>
    </row>
    <row r="410" spans="1:14" x14ac:dyDescent="0.3">
      <c r="A410" t="str">
        <v>E0409</v>
      </c>
      <c r="B410" t="str">
        <v>Administration</v>
      </c>
      <c r="C410" t="str">
        <v>Administrative Assistant</v>
      </c>
      <c r="D410" s="2">
        <v>47200</v>
      </c>
      <c r="E410" s="2">
        <v>48000</v>
      </c>
      <c r="F410" s="3">
        <v>0.98333333333333328</v>
      </c>
      <c r="G410" s="2">
        <v>1416</v>
      </c>
      <c r="H410" s="2">
        <v>48616</v>
      </c>
      <c r="I410">
        <v>0</v>
      </c>
      <c r="J410" s="2">
        <v>47200</v>
      </c>
      <c r="K410">
        <v>0</v>
      </c>
      <c r="L410" s="2">
        <v>47200</v>
      </c>
      <c r="M410" s="1">
        <v>0</v>
      </c>
      <c r="N410" s="1">
        <v>0</v>
      </c>
    </row>
    <row r="411" spans="1:14" x14ac:dyDescent="0.3">
      <c r="A411" t="str">
        <v>E0410</v>
      </c>
      <c r="B411" t="str">
        <v>Information Technology</v>
      </c>
      <c r="C411" t="str">
        <v>IT Support Analyst</v>
      </c>
      <c r="D411" s="2">
        <v>54100</v>
      </c>
      <c r="E411" s="2">
        <v>58000</v>
      </c>
      <c r="F411" s="3">
        <v>0.9327586206896552</v>
      </c>
      <c r="G411" s="2">
        <v>1623</v>
      </c>
      <c r="H411" s="2">
        <v>55723</v>
      </c>
      <c r="I411">
        <v>0</v>
      </c>
      <c r="J411" s="2">
        <v>54100</v>
      </c>
      <c r="K411">
        <v>1000</v>
      </c>
      <c r="L411" s="2">
        <v>55100</v>
      </c>
      <c r="M411" s="1">
        <v>0</v>
      </c>
      <c r="N411" s="1">
        <v>1</v>
      </c>
    </row>
    <row r="412" spans="1:14" x14ac:dyDescent="0.3">
      <c r="A412" t="str">
        <v>E0411</v>
      </c>
      <c r="B412" t="str">
        <v>Human Resources</v>
      </c>
      <c r="C412" t="str">
        <v>HR Analyst</v>
      </c>
      <c r="D412" s="2">
        <v>63800</v>
      </c>
      <c r="E412" s="2">
        <v>68000</v>
      </c>
      <c r="F412" s="3">
        <v>0.93823529411764706</v>
      </c>
      <c r="G412" s="2">
        <v>1914</v>
      </c>
      <c r="H412" s="2">
        <v>65714</v>
      </c>
      <c r="I412">
        <v>0</v>
      </c>
      <c r="J412" s="2">
        <v>63800</v>
      </c>
      <c r="K412">
        <v>800</v>
      </c>
      <c r="L412" s="2">
        <v>64600</v>
      </c>
      <c r="M412" s="1">
        <v>0</v>
      </c>
      <c r="N412" s="1">
        <v>1</v>
      </c>
    </row>
    <row r="413" spans="1:14" x14ac:dyDescent="0.3">
      <c r="A413" t="str">
        <v>E0412</v>
      </c>
      <c r="B413" t="str">
        <v>Policy &amp; Research</v>
      </c>
      <c r="C413" t="str">
        <v>Senior Policy Analyst</v>
      </c>
      <c r="D413" s="2">
        <v>94300</v>
      </c>
      <c r="E413" s="2">
        <v>90000</v>
      </c>
      <c r="F413" s="3">
        <v>1.0477777777777777</v>
      </c>
      <c r="G413" s="2">
        <v>2829</v>
      </c>
      <c r="H413" s="2">
        <v>97129</v>
      </c>
      <c r="I413">
        <v>0</v>
      </c>
      <c r="J413" s="2">
        <v>94300</v>
      </c>
      <c r="K413">
        <v>0</v>
      </c>
      <c r="L413" s="2">
        <v>94300</v>
      </c>
      <c r="M413" s="1">
        <v>0</v>
      </c>
      <c r="N413" s="1">
        <v>0</v>
      </c>
    </row>
    <row r="414" spans="1:14" x14ac:dyDescent="0.3">
      <c r="A414" t="str">
        <v>E0413</v>
      </c>
      <c r="B414" t="str">
        <v>Administration</v>
      </c>
      <c r="C414" t="str">
        <v>Office Manager</v>
      </c>
      <c r="D414" s="2">
        <v>76300</v>
      </c>
      <c r="E414" s="2">
        <v>72000</v>
      </c>
      <c r="F414" s="3">
        <v>1.0597222222222222</v>
      </c>
      <c r="G414" s="2">
        <v>2289</v>
      </c>
      <c r="H414" s="2">
        <v>78589</v>
      </c>
      <c r="I414">
        <v>0</v>
      </c>
      <c r="J414" s="2">
        <v>76300</v>
      </c>
      <c r="K414">
        <v>0</v>
      </c>
      <c r="L414" s="2">
        <v>76300</v>
      </c>
      <c r="M414" s="1">
        <v>0</v>
      </c>
      <c r="N414" s="1">
        <v>0</v>
      </c>
    </row>
    <row r="415" spans="1:14" x14ac:dyDescent="0.3">
      <c r="A415" t="str">
        <v>E0414</v>
      </c>
      <c r="B415" t="str">
        <v>Human Resources</v>
      </c>
      <c r="C415" t="str">
        <v>HR Assistant</v>
      </c>
      <c r="D415" s="2">
        <v>50400</v>
      </c>
      <c r="E415" s="2">
        <v>50000</v>
      </c>
      <c r="F415" s="3">
        <v>1.008</v>
      </c>
      <c r="G415" s="2">
        <v>1512</v>
      </c>
      <c r="H415" s="2">
        <v>51912</v>
      </c>
      <c r="I415">
        <v>0</v>
      </c>
      <c r="J415" s="2">
        <v>50400</v>
      </c>
      <c r="K415">
        <v>0</v>
      </c>
      <c r="L415" s="2">
        <v>50400</v>
      </c>
      <c r="M415" s="1">
        <v>0</v>
      </c>
      <c r="N415" s="1">
        <v>0</v>
      </c>
    </row>
    <row r="416" spans="1:14" x14ac:dyDescent="0.3">
      <c r="A416" t="str">
        <v>E0415</v>
      </c>
      <c r="B416" t="str">
        <v>Finance</v>
      </c>
      <c r="C416" t="str">
        <v>Senior Financial Analyst</v>
      </c>
      <c r="D416" s="2">
        <v>78200</v>
      </c>
      <c r="E416" s="2">
        <v>88000</v>
      </c>
      <c r="F416" s="3">
        <v>0.88863636363636367</v>
      </c>
      <c r="G416" s="2">
        <v>2346</v>
      </c>
      <c r="H416" s="2">
        <v>80546</v>
      </c>
      <c r="I416">
        <v>1000</v>
      </c>
      <c r="J416" s="2">
        <v>79200</v>
      </c>
      <c r="K416">
        <v>5400</v>
      </c>
      <c r="L416" s="2">
        <v>83600</v>
      </c>
      <c r="M416" s="1">
        <v>1</v>
      </c>
      <c r="N416" s="1">
        <v>1</v>
      </c>
    </row>
    <row r="417" spans="1:14" x14ac:dyDescent="0.3">
      <c r="A417" t="str">
        <v>E0416</v>
      </c>
      <c r="B417" t="str">
        <v>Finance</v>
      </c>
      <c r="C417" t="str">
        <v>Finance Assistant</v>
      </c>
      <c r="D417" s="2">
        <v>55600</v>
      </c>
      <c r="E417" s="2">
        <v>52000</v>
      </c>
      <c r="F417" s="3">
        <v>1.0692307692307692</v>
      </c>
      <c r="G417" s="2">
        <v>1668</v>
      </c>
      <c r="H417" s="2">
        <v>57268</v>
      </c>
      <c r="I417">
        <v>0</v>
      </c>
      <c r="J417" s="2">
        <v>55600</v>
      </c>
      <c r="K417">
        <v>0</v>
      </c>
      <c r="L417" s="2">
        <v>55600</v>
      </c>
      <c r="M417" s="1">
        <v>0</v>
      </c>
      <c r="N417" s="1">
        <v>0</v>
      </c>
    </row>
    <row r="418" spans="1:14" x14ac:dyDescent="0.3">
      <c r="A418" t="str">
        <v>E0417</v>
      </c>
      <c r="B418" t="str">
        <v>Finance</v>
      </c>
      <c r="C418" t="str">
        <v>Financial Analyst</v>
      </c>
      <c r="D418" s="2">
        <v>70700</v>
      </c>
      <c r="E418" s="2">
        <v>70000</v>
      </c>
      <c r="F418" s="3">
        <v>1.01</v>
      </c>
      <c r="G418" s="2">
        <v>2121</v>
      </c>
      <c r="H418" s="2">
        <v>72821</v>
      </c>
      <c r="I418">
        <v>0</v>
      </c>
      <c r="J418" s="2">
        <v>70700</v>
      </c>
      <c r="K418">
        <v>0</v>
      </c>
      <c r="L418" s="2">
        <v>70700</v>
      </c>
      <c r="M418" s="1">
        <v>0</v>
      </c>
      <c r="N418" s="1">
        <v>0</v>
      </c>
    </row>
    <row r="419" spans="1:14" x14ac:dyDescent="0.3">
      <c r="A419" t="str">
        <v>E0418</v>
      </c>
      <c r="B419" t="str">
        <v>Finance</v>
      </c>
      <c r="C419" t="str">
        <v>Senior Financial Analyst</v>
      </c>
      <c r="D419" s="2">
        <v>95100</v>
      </c>
      <c r="E419" s="2">
        <v>88000</v>
      </c>
      <c r="F419" s="3">
        <v>1.0806818181818181</v>
      </c>
      <c r="G419" s="2">
        <v>2853</v>
      </c>
      <c r="H419" s="2">
        <v>97953</v>
      </c>
      <c r="I419">
        <v>0</v>
      </c>
      <c r="J419" s="2">
        <v>95100</v>
      </c>
      <c r="K419">
        <v>0</v>
      </c>
      <c r="L419" s="2">
        <v>95100</v>
      </c>
      <c r="M419" s="1">
        <v>0</v>
      </c>
      <c r="N419" s="1">
        <v>0</v>
      </c>
    </row>
    <row r="420" spans="1:14" x14ac:dyDescent="0.3">
      <c r="A420" t="str">
        <v>E0419</v>
      </c>
      <c r="B420" t="str">
        <v>Information Technology</v>
      </c>
      <c r="C420" t="str">
        <v>Systems Analyst</v>
      </c>
      <c r="D420" s="2">
        <v>77700</v>
      </c>
      <c r="E420" s="2">
        <v>78000</v>
      </c>
      <c r="F420" s="3">
        <v>0.99615384615384617</v>
      </c>
      <c r="G420" s="2">
        <v>2331</v>
      </c>
      <c r="H420" s="2">
        <v>80031</v>
      </c>
      <c r="I420">
        <v>0</v>
      </c>
      <c r="J420" s="2">
        <v>77700</v>
      </c>
      <c r="K420">
        <v>0</v>
      </c>
      <c r="L420" s="2">
        <v>77700</v>
      </c>
      <c r="M420" s="1">
        <v>0</v>
      </c>
      <c r="N420" s="1">
        <v>0</v>
      </c>
    </row>
    <row r="421" spans="1:14" x14ac:dyDescent="0.3">
      <c r="A421" t="str">
        <v>E0420</v>
      </c>
      <c r="B421" t="str">
        <v>Operations</v>
      </c>
      <c r="C421" t="str">
        <v>Operations Manager</v>
      </c>
      <c r="D421" s="2">
        <v>99200</v>
      </c>
      <c r="E421" s="2">
        <v>85000</v>
      </c>
      <c r="F421" s="3">
        <v>1.1670588235294117</v>
      </c>
      <c r="G421" s="2">
        <v>2976</v>
      </c>
      <c r="H421" s="2">
        <v>102176</v>
      </c>
      <c r="I421">
        <v>0</v>
      </c>
      <c r="J421" s="2">
        <v>99200</v>
      </c>
      <c r="K421">
        <v>0</v>
      </c>
      <c r="L421" s="2">
        <v>99200</v>
      </c>
      <c r="M421" s="1">
        <v>0</v>
      </c>
      <c r="N421" s="1">
        <v>0</v>
      </c>
    </row>
    <row r="422" spans="1:14" x14ac:dyDescent="0.3">
      <c r="A422" t="str">
        <v>E0421</v>
      </c>
      <c r="B422" t="str">
        <v>Information Technology</v>
      </c>
      <c r="C422" t="str">
        <v>Senior Systems Analyst</v>
      </c>
      <c r="D422" s="2">
        <v>101200</v>
      </c>
      <c r="E422" s="2">
        <v>98000</v>
      </c>
      <c r="F422" s="3">
        <v>1.0326530612244897</v>
      </c>
      <c r="G422" s="2">
        <v>3036</v>
      </c>
      <c r="H422" s="2">
        <v>104236</v>
      </c>
      <c r="I422">
        <v>0</v>
      </c>
      <c r="J422" s="2">
        <v>101200</v>
      </c>
      <c r="K422">
        <v>0</v>
      </c>
      <c r="L422" s="2">
        <v>101200</v>
      </c>
      <c r="M422" s="1">
        <v>0</v>
      </c>
      <c r="N422" s="1">
        <v>0</v>
      </c>
    </row>
    <row r="423" spans="1:14" x14ac:dyDescent="0.3">
      <c r="A423" t="str">
        <v>E0422</v>
      </c>
      <c r="B423" t="str">
        <v>Information Technology</v>
      </c>
      <c r="C423" t="str">
        <v>Systems Analyst</v>
      </c>
      <c r="D423" s="2">
        <v>73900</v>
      </c>
      <c r="E423" s="2">
        <v>78000</v>
      </c>
      <c r="F423" s="3">
        <v>0.9474358974358974</v>
      </c>
      <c r="G423" s="2">
        <v>2217</v>
      </c>
      <c r="H423" s="2">
        <v>76117</v>
      </c>
      <c r="I423">
        <v>0</v>
      </c>
      <c r="J423" s="2">
        <v>73900</v>
      </c>
      <c r="K423">
        <v>200</v>
      </c>
      <c r="L423" s="2">
        <v>74100</v>
      </c>
      <c r="M423" s="1">
        <v>0</v>
      </c>
      <c r="N423" s="1">
        <v>1</v>
      </c>
    </row>
    <row r="424" spans="1:14" x14ac:dyDescent="0.3">
      <c r="A424" t="str">
        <v>E0423</v>
      </c>
      <c r="B424" t="str">
        <v>Administration</v>
      </c>
      <c r="C424" t="str">
        <v>Administrative Coordinator</v>
      </c>
      <c r="D424" s="2">
        <v>45000</v>
      </c>
      <c r="E424" s="2">
        <v>58000</v>
      </c>
      <c r="F424" s="3">
        <v>0.77586206896551724</v>
      </c>
      <c r="G424" s="2">
        <v>1350</v>
      </c>
      <c r="H424" s="2">
        <v>46350</v>
      </c>
      <c r="I424">
        <v>7200</v>
      </c>
      <c r="J424" s="2">
        <v>52200</v>
      </c>
      <c r="K424">
        <v>10100</v>
      </c>
      <c r="L424" s="2">
        <v>55100</v>
      </c>
      <c r="M424" s="1">
        <v>1</v>
      </c>
      <c r="N424" s="1">
        <v>1</v>
      </c>
    </row>
    <row r="425" spans="1:14" x14ac:dyDescent="0.3">
      <c r="A425" t="str">
        <v>E0424</v>
      </c>
      <c r="B425" t="str">
        <v>Administration</v>
      </c>
      <c r="C425" t="str">
        <v>Administrative Coordinator</v>
      </c>
      <c r="D425" s="2">
        <v>43800</v>
      </c>
      <c r="E425" s="2">
        <v>58000</v>
      </c>
      <c r="F425" s="3">
        <v>0.7551724137931034</v>
      </c>
      <c r="G425" s="2">
        <v>1314</v>
      </c>
      <c r="H425" s="2">
        <v>45114</v>
      </c>
      <c r="I425">
        <v>8400</v>
      </c>
      <c r="J425" s="2">
        <v>52200</v>
      </c>
      <c r="K425">
        <v>11300</v>
      </c>
      <c r="L425" s="2">
        <v>55100</v>
      </c>
      <c r="M425" s="1">
        <v>1</v>
      </c>
      <c r="N425" s="1">
        <v>1</v>
      </c>
    </row>
    <row r="426" spans="1:14" x14ac:dyDescent="0.3">
      <c r="A426" t="str">
        <v>E0425</v>
      </c>
      <c r="B426" t="str">
        <v>Policy &amp; Research</v>
      </c>
      <c r="C426" t="str">
        <v>Senior Policy Analyst</v>
      </c>
      <c r="D426" s="2">
        <v>92200</v>
      </c>
      <c r="E426" s="2">
        <v>90000</v>
      </c>
      <c r="F426" s="3">
        <v>1.0244444444444445</v>
      </c>
      <c r="G426" s="2">
        <v>2766</v>
      </c>
      <c r="H426" s="2">
        <v>94966</v>
      </c>
      <c r="I426">
        <v>0</v>
      </c>
      <c r="J426" s="2">
        <v>92200</v>
      </c>
      <c r="K426">
        <v>0</v>
      </c>
      <c r="L426" s="2">
        <v>92200</v>
      </c>
      <c r="M426" s="1">
        <v>0</v>
      </c>
      <c r="N426" s="1">
        <v>0</v>
      </c>
    </row>
    <row r="427" spans="1:14" x14ac:dyDescent="0.3">
      <c r="A427" t="str">
        <v>E0426</v>
      </c>
      <c r="B427" t="str">
        <v>Information Technology</v>
      </c>
      <c r="C427" t="str">
        <v>IT Support Analyst</v>
      </c>
      <c r="D427" s="2">
        <v>53000</v>
      </c>
      <c r="E427" s="2">
        <v>58000</v>
      </c>
      <c r="F427" s="3">
        <v>0.91379310344827591</v>
      </c>
      <c r="G427" s="2">
        <v>1590</v>
      </c>
      <c r="H427" s="2">
        <v>54590</v>
      </c>
      <c r="I427">
        <v>0</v>
      </c>
      <c r="J427" s="2">
        <v>53000</v>
      </c>
      <c r="K427">
        <v>2100</v>
      </c>
      <c r="L427" s="2">
        <v>55100</v>
      </c>
      <c r="M427" s="1">
        <v>0</v>
      </c>
      <c r="N427" s="1">
        <v>1</v>
      </c>
    </row>
    <row r="428" spans="1:14" x14ac:dyDescent="0.3">
      <c r="A428" t="str">
        <v>E0427</v>
      </c>
      <c r="B428" t="str">
        <v>Policy &amp; Research</v>
      </c>
      <c r="C428" t="str">
        <v>Policy Analyst</v>
      </c>
      <c r="D428" s="2">
        <v>71100</v>
      </c>
      <c r="E428" s="2">
        <v>72000</v>
      </c>
      <c r="F428" s="3">
        <v>0.98750000000000004</v>
      </c>
      <c r="G428" s="2">
        <v>2133</v>
      </c>
      <c r="H428" s="2">
        <v>73233</v>
      </c>
      <c r="I428">
        <v>0</v>
      </c>
      <c r="J428" s="2">
        <v>71100</v>
      </c>
      <c r="K428">
        <v>0</v>
      </c>
      <c r="L428" s="2">
        <v>71100</v>
      </c>
      <c r="M428" s="1">
        <v>0</v>
      </c>
      <c r="N428" s="1">
        <v>0</v>
      </c>
    </row>
    <row r="429" spans="1:14" x14ac:dyDescent="0.3">
      <c r="A429" t="str">
        <v>E0428</v>
      </c>
      <c r="B429" t="str">
        <v>Information Technology</v>
      </c>
      <c r="C429" t="str">
        <v>Senior Systems Analyst</v>
      </c>
      <c r="D429" s="2">
        <v>108800</v>
      </c>
      <c r="E429" s="2">
        <v>98000</v>
      </c>
      <c r="F429" s="3">
        <v>1.1102040816326531</v>
      </c>
      <c r="G429" s="2">
        <v>3264</v>
      </c>
      <c r="H429" s="2">
        <v>112064</v>
      </c>
      <c r="I429">
        <v>0</v>
      </c>
      <c r="J429" s="2">
        <v>108800</v>
      </c>
      <c r="K429">
        <v>0</v>
      </c>
      <c r="L429" s="2">
        <v>108800</v>
      </c>
      <c r="M429" s="1">
        <v>0</v>
      </c>
      <c r="N429" s="1">
        <v>0</v>
      </c>
    </row>
    <row r="430" spans="1:14" x14ac:dyDescent="0.3">
      <c r="A430" t="str">
        <v>E0429</v>
      </c>
      <c r="B430" t="str">
        <v>Information Technology</v>
      </c>
      <c r="C430" t="str">
        <v>IT Support Analyst</v>
      </c>
      <c r="D430" s="2">
        <v>57400</v>
      </c>
      <c r="E430" s="2">
        <v>58000</v>
      </c>
      <c r="F430" s="3">
        <v>0.98965517241379308</v>
      </c>
      <c r="G430" s="2">
        <v>1722</v>
      </c>
      <c r="H430" s="2">
        <v>59122</v>
      </c>
      <c r="I430">
        <v>0</v>
      </c>
      <c r="J430" s="2">
        <v>57400</v>
      </c>
      <c r="K430">
        <v>0</v>
      </c>
      <c r="L430" s="2">
        <v>57400</v>
      </c>
      <c r="M430" s="1">
        <v>0</v>
      </c>
      <c r="N430" s="1">
        <v>0</v>
      </c>
    </row>
    <row r="431" spans="1:14" x14ac:dyDescent="0.3">
      <c r="A431" t="str">
        <v>E0430</v>
      </c>
      <c r="B431" t="str">
        <v>Human Resources</v>
      </c>
      <c r="C431" t="str">
        <v>HR Analyst</v>
      </c>
      <c r="D431" s="2">
        <v>60200</v>
      </c>
      <c r="E431" s="2">
        <v>68000</v>
      </c>
      <c r="F431" s="3">
        <v>0.88529411764705879</v>
      </c>
      <c r="G431" s="2">
        <v>1806</v>
      </c>
      <c r="H431" s="2">
        <v>62006</v>
      </c>
      <c r="I431">
        <v>1000</v>
      </c>
      <c r="J431" s="2">
        <v>61200</v>
      </c>
      <c r="K431">
        <v>4400</v>
      </c>
      <c r="L431" s="2">
        <v>64600</v>
      </c>
      <c r="M431" s="1">
        <v>1</v>
      </c>
      <c r="N431" s="1">
        <v>1</v>
      </c>
    </row>
    <row r="432" spans="1:14" x14ac:dyDescent="0.3">
      <c r="A432" t="str">
        <v>E0431</v>
      </c>
      <c r="B432" t="str">
        <v>Information Technology</v>
      </c>
      <c r="C432" t="str">
        <v>IT Support Analyst</v>
      </c>
      <c r="D432" s="2">
        <v>58900</v>
      </c>
      <c r="E432" s="2">
        <v>58000</v>
      </c>
      <c r="F432" s="3">
        <v>1.0155172413793103</v>
      </c>
      <c r="G432" s="2">
        <v>1767</v>
      </c>
      <c r="H432" s="2">
        <v>60667</v>
      </c>
      <c r="I432">
        <v>0</v>
      </c>
      <c r="J432" s="2">
        <v>58900</v>
      </c>
      <c r="K432">
        <v>0</v>
      </c>
      <c r="L432" s="2">
        <v>58900</v>
      </c>
      <c r="M432" s="1">
        <v>0</v>
      </c>
      <c r="N432" s="1">
        <v>0</v>
      </c>
    </row>
    <row r="433" spans="1:14" x14ac:dyDescent="0.3">
      <c r="A433" t="str">
        <v>E0432</v>
      </c>
      <c r="B433" t="str">
        <v>Operations</v>
      </c>
      <c r="C433" t="str">
        <v>Operations Manager</v>
      </c>
      <c r="D433" s="2">
        <v>92900</v>
      </c>
      <c r="E433" s="2">
        <v>85000</v>
      </c>
      <c r="F433" s="3">
        <v>1.0929411764705883</v>
      </c>
      <c r="G433" s="2">
        <v>2787</v>
      </c>
      <c r="H433" s="2">
        <v>95687</v>
      </c>
      <c r="I433">
        <v>0</v>
      </c>
      <c r="J433" s="2">
        <v>92900</v>
      </c>
      <c r="K433">
        <v>0</v>
      </c>
      <c r="L433" s="2">
        <v>92900</v>
      </c>
      <c r="M433" s="1">
        <v>0</v>
      </c>
      <c r="N433" s="1">
        <v>0</v>
      </c>
    </row>
    <row r="434" spans="1:14" x14ac:dyDescent="0.3">
      <c r="A434" t="str">
        <v>E0433</v>
      </c>
      <c r="B434" t="str">
        <v>Administration</v>
      </c>
      <c r="C434" t="str">
        <v>Administrative Assistant</v>
      </c>
      <c r="D434" s="2">
        <v>52000</v>
      </c>
      <c r="E434" s="2">
        <v>48000</v>
      </c>
      <c r="F434" s="3">
        <v>1.0833333333333333</v>
      </c>
      <c r="G434" s="2">
        <v>1560</v>
      </c>
      <c r="H434" s="2">
        <v>53560</v>
      </c>
      <c r="I434">
        <v>0</v>
      </c>
      <c r="J434" s="2">
        <v>52000</v>
      </c>
      <c r="K434">
        <v>0</v>
      </c>
      <c r="L434" s="2">
        <v>52000</v>
      </c>
      <c r="M434" s="1">
        <v>0</v>
      </c>
      <c r="N434" s="1">
        <v>0</v>
      </c>
    </row>
    <row r="435" spans="1:14" x14ac:dyDescent="0.3">
      <c r="A435" t="str">
        <v>E0434</v>
      </c>
      <c r="B435" t="str">
        <v>Information Technology</v>
      </c>
      <c r="C435" t="str">
        <v>IT Support Analyst</v>
      </c>
      <c r="D435" s="2">
        <v>56500</v>
      </c>
      <c r="E435" s="2">
        <v>58000</v>
      </c>
      <c r="F435" s="3">
        <v>0.97413793103448276</v>
      </c>
      <c r="G435" s="2">
        <v>1695</v>
      </c>
      <c r="H435" s="2">
        <v>58195</v>
      </c>
      <c r="I435">
        <v>0</v>
      </c>
      <c r="J435" s="2">
        <v>56500</v>
      </c>
      <c r="K435">
        <v>0</v>
      </c>
      <c r="L435" s="2">
        <v>56500</v>
      </c>
      <c r="M435" s="1">
        <v>0</v>
      </c>
      <c r="N435" s="1">
        <v>0</v>
      </c>
    </row>
    <row r="436" spans="1:14" x14ac:dyDescent="0.3">
      <c r="A436" t="str">
        <v>E0435</v>
      </c>
      <c r="B436" t="str">
        <v>Human Resources</v>
      </c>
      <c r="C436" t="str">
        <v>HR Analyst</v>
      </c>
      <c r="D436" s="2">
        <v>76000</v>
      </c>
      <c r="E436" s="2">
        <v>68000</v>
      </c>
      <c r="F436" s="3">
        <v>1.1176470588235294</v>
      </c>
      <c r="G436" s="2">
        <v>2280</v>
      </c>
      <c r="H436" s="2">
        <v>78280</v>
      </c>
      <c r="I436">
        <v>0</v>
      </c>
      <c r="J436" s="2">
        <v>76000</v>
      </c>
      <c r="K436">
        <v>0</v>
      </c>
      <c r="L436" s="2">
        <v>76000</v>
      </c>
      <c r="M436" s="1">
        <v>0</v>
      </c>
      <c r="N436" s="1">
        <v>0</v>
      </c>
    </row>
    <row r="437" spans="1:14" x14ac:dyDescent="0.3">
      <c r="A437" t="str">
        <v>E0436</v>
      </c>
      <c r="B437" t="str">
        <v>Human Resources</v>
      </c>
      <c r="C437" t="str">
        <v>HR Advisor</v>
      </c>
      <c r="D437" s="2">
        <v>81100</v>
      </c>
      <c r="E437" s="2">
        <v>82000</v>
      </c>
      <c r="F437" s="3">
        <v>0.98902439024390243</v>
      </c>
      <c r="G437" s="2">
        <v>2433</v>
      </c>
      <c r="H437" s="2">
        <v>83533</v>
      </c>
      <c r="I437">
        <v>0</v>
      </c>
      <c r="J437" s="2">
        <v>81100</v>
      </c>
      <c r="K437">
        <v>0</v>
      </c>
      <c r="L437" s="2">
        <v>81100</v>
      </c>
      <c r="M437" s="1">
        <v>0</v>
      </c>
      <c r="N437" s="1">
        <v>0</v>
      </c>
    </row>
    <row r="438" spans="1:14" x14ac:dyDescent="0.3">
      <c r="A438" t="str">
        <v>E0437</v>
      </c>
      <c r="B438" t="str">
        <v>Policy &amp; Research</v>
      </c>
      <c r="C438" t="str">
        <v>Research Assistant</v>
      </c>
      <c r="D438" s="2">
        <v>50600</v>
      </c>
      <c r="E438" s="2">
        <v>52000</v>
      </c>
      <c r="F438" s="3">
        <v>0.97307692307692306</v>
      </c>
      <c r="G438" s="2">
        <v>1518</v>
      </c>
      <c r="H438" s="2">
        <v>52118</v>
      </c>
      <c r="I438">
        <v>0</v>
      </c>
      <c r="J438" s="2">
        <v>50600</v>
      </c>
      <c r="K438">
        <v>0</v>
      </c>
      <c r="L438" s="2">
        <v>50600</v>
      </c>
      <c r="M438" s="1">
        <v>0</v>
      </c>
      <c r="N438" s="1">
        <v>0</v>
      </c>
    </row>
    <row r="439" spans="1:14" x14ac:dyDescent="0.3">
      <c r="A439" t="str">
        <v>E0438</v>
      </c>
      <c r="B439" t="str">
        <v>Information Technology</v>
      </c>
      <c r="C439" t="str">
        <v>IT Support Analyst</v>
      </c>
      <c r="D439" s="2">
        <v>56500</v>
      </c>
      <c r="E439" s="2">
        <v>58000</v>
      </c>
      <c r="F439" s="3">
        <v>0.97413793103448276</v>
      </c>
      <c r="G439" s="2">
        <v>1695</v>
      </c>
      <c r="H439" s="2">
        <v>58195</v>
      </c>
      <c r="I439">
        <v>0</v>
      </c>
      <c r="J439" s="2">
        <v>56500</v>
      </c>
      <c r="K439">
        <v>0</v>
      </c>
      <c r="L439" s="2">
        <v>56500</v>
      </c>
      <c r="M439" s="1">
        <v>0</v>
      </c>
      <c r="N439" s="1">
        <v>0</v>
      </c>
    </row>
    <row r="440" spans="1:14" x14ac:dyDescent="0.3">
      <c r="A440" t="str">
        <v>E0439</v>
      </c>
      <c r="B440" t="str">
        <v>Finance</v>
      </c>
      <c r="C440" t="str">
        <v>Finance Assistant</v>
      </c>
      <c r="D440" s="2">
        <v>47000</v>
      </c>
      <c r="E440" s="2">
        <v>52000</v>
      </c>
      <c r="F440" s="3">
        <v>0.90384615384615385</v>
      </c>
      <c r="G440" s="2">
        <v>1410</v>
      </c>
      <c r="H440" s="2">
        <v>48410</v>
      </c>
      <c r="I440">
        <v>0</v>
      </c>
      <c r="J440" s="2">
        <v>47000</v>
      </c>
      <c r="K440">
        <v>2400</v>
      </c>
      <c r="L440" s="2">
        <v>49400</v>
      </c>
      <c r="M440" s="1">
        <v>0</v>
      </c>
      <c r="N440" s="1">
        <v>1</v>
      </c>
    </row>
    <row r="441" spans="1:14" x14ac:dyDescent="0.3">
      <c r="A441" t="str">
        <v>E0440</v>
      </c>
      <c r="B441" t="str">
        <v>Human Resources</v>
      </c>
      <c r="C441" t="str">
        <v>HR Assistant</v>
      </c>
      <c r="D441" s="2">
        <v>43400</v>
      </c>
      <c r="E441" s="2">
        <v>50000</v>
      </c>
      <c r="F441" s="3">
        <v>0.86799999999999999</v>
      </c>
      <c r="G441" s="2">
        <v>1302</v>
      </c>
      <c r="H441" s="2">
        <v>44702</v>
      </c>
      <c r="I441">
        <v>1600</v>
      </c>
      <c r="J441" s="2">
        <v>45000</v>
      </c>
      <c r="K441">
        <v>4100</v>
      </c>
      <c r="L441" s="2">
        <v>47500</v>
      </c>
      <c r="M441" s="1">
        <v>1</v>
      </c>
      <c r="N441" s="1">
        <v>1</v>
      </c>
    </row>
    <row r="442" spans="1:14" x14ac:dyDescent="0.3">
      <c r="A442" t="str">
        <v>E0441</v>
      </c>
      <c r="B442" t="str">
        <v>Information Technology</v>
      </c>
      <c r="C442" t="str">
        <v>Systems Analyst</v>
      </c>
      <c r="D442" s="2">
        <v>71000</v>
      </c>
      <c r="E442" s="2">
        <v>78000</v>
      </c>
      <c r="F442" s="3">
        <v>0.91025641025641024</v>
      </c>
      <c r="G442" s="2">
        <v>2130</v>
      </c>
      <c r="H442" s="2">
        <v>73130</v>
      </c>
      <c r="I442">
        <v>0</v>
      </c>
      <c r="J442" s="2">
        <v>71000</v>
      </c>
      <c r="K442">
        <v>3100</v>
      </c>
      <c r="L442" s="2">
        <v>74100</v>
      </c>
      <c r="M442" s="1">
        <v>0</v>
      </c>
      <c r="N442" s="1">
        <v>1</v>
      </c>
    </row>
    <row r="443" spans="1:14" x14ac:dyDescent="0.3">
      <c r="A443" t="str">
        <v>E0442</v>
      </c>
      <c r="B443" t="str">
        <v>Policy &amp; Research</v>
      </c>
      <c r="C443" t="str">
        <v>Research Assistant</v>
      </c>
      <c r="D443" s="2">
        <v>47300</v>
      </c>
      <c r="E443" s="2">
        <v>52000</v>
      </c>
      <c r="F443" s="3">
        <v>0.9096153846153846</v>
      </c>
      <c r="G443" s="2">
        <v>1419</v>
      </c>
      <c r="H443" s="2">
        <v>48719</v>
      </c>
      <c r="I443">
        <v>0</v>
      </c>
      <c r="J443" s="2">
        <v>47300</v>
      </c>
      <c r="K443">
        <v>2100</v>
      </c>
      <c r="L443" s="2">
        <v>49400</v>
      </c>
      <c r="M443" s="1">
        <v>0</v>
      </c>
      <c r="N443" s="1">
        <v>1</v>
      </c>
    </row>
    <row r="444" spans="1:14" x14ac:dyDescent="0.3">
      <c r="A444" t="str">
        <v>E0443</v>
      </c>
      <c r="B444" t="str">
        <v>Operations</v>
      </c>
      <c r="C444" t="str">
        <v>Operations Manager</v>
      </c>
      <c r="D444" s="2">
        <v>96600</v>
      </c>
      <c r="E444" s="2">
        <v>85000</v>
      </c>
      <c r="F444" s="3">
        <v>1.1364705882352941</v>
      </c>
      <c r="G444" s="2">
        <v>2898</v>
      </c>
      <c r="H444" s="2">
        <v>99498</v>
      </c>
      <c r="I444">
        <v>0</v>
      </c>
      <c r="J444" s="2">
        <v>96600</v>
      </c>
      <c r="K444">
        <v>0</v>
      </c>
      <c r="L444" s="2">
        <v>96600</v>
      </c>
      <c r="M444" s="1">
        <v>0</v>
      </c>
      <c r="N444" s="1">
        <v>0</v>
      </c>
    </row>
    <row r="445" spans="1:14" x14ac:dyDescent="0.3">
      <c r="A445" t="str">
        <v>E0444</v>
      </c>
      <c r="B445" t="str">
        <v>Operations</v>
      </c>
      <c r="C445" t="str">
        <v>Operations Analyst</v>
      </c>
      <c r="D445" s="2">
        <v>77400</v>
      </c>
      <c r="E445" s="2">
        <v>68000</v>
      </c>
      <c r="F445" s="3">
        <v>1.138235294117647</v>
      </c>
      <c r="G445" s="2">
        <v>2322</v>
      </c>
      <c r="H445" s="2">
        <v>79722</v>
      </c>
      <c r="I445">
        <v>0</v>
      </c>
      <c r="J445" s="2">
        <v>77400</v>
      </c>
      <c r="K445">
        <v>0</v>
      </c>
      <c r="L445" s="2">
        <v>77400</v>
      </c>
      <c r="M445" s="1">
        <v>0</v>
      </c>
      <c r="N445" s="1">
        <v>0</v>
      </c>
    </row>
    <row r="446" spans="1:14" x14ac:dyDescent="0.3">
      <c r="A446" t="str">
        <v>E0445</v>
      </c>
      <c r="B446" t="str">
        <v>Information Technology</v>
      </c>
      <c r="C446" t="str">
        <v>Senior Systems Analyst</v>
      </c>
      <c r="D446" s="2">
        <v>97600</v>
      </c>
      <c r="E446" s="2">
        <v>98000</v>
      </c>
      <c r="F446" s="3">
        <v>0.99591836734693873</v>
      </c>
      <c r="G446" s="2">
        <v>2928</v>
      </c>
      <c r="H446" s="2">
        <v>100528</v>
      </c>
      <c r="I446">
        <v>0</v>
      </c>
      <c r="J446" s="2">
        <v>97600</v>
      </c>
      <c r="K446">
        <v>0</v>
      </c>
      <c r="L446" s="2">
        <v>97600</v>
      </c>
      <c r="M446" s="1">
        <v>0</v>
      </c>
      <c r="N446" s="1">
        <v>0</v>
      </c>
    </row>
    <row r="447" spans="1:14" x14ac:dyDescent="0.3">
      <c r="A447" t="str">
        <v>E0446</v>
      </c>
      <c r="B447" t="str">
        <v>Information Technology</v>
      </c>
      <c r="C447" t="str">
        <v>Systems Analyst</v>
      </c>
      <c r="D447" s="2">
        <v>67700</v>
      </c>
      <c r="E447" s="2">
        <v>78000</v>
      </c>
      <c r="F447" s="3">
        <v>0.86794871794871797</v>
      </c>
      <c r="G447" s="2">
        <v>2031</v>
      </c>
      <c r="H447" s="2">
        <v>69731</v>
      </c>
      <c r="I447">
        <v>2500</v>
      </c>
      <c r="J447" s="2">
        <v>70200</v>
      </c>
      <c r="K447">
        <v>6400</v>
      </c>
      <c r="L447" s="2">
        <v>74100</v>
      </c>
      <c r="M447" s="1">
        <v>1</v>
      </c>
      <c r="N447" s="1">
        <v>1</v>
      </c>
    </row>
    <row r="448" spans="1:14" x14ac:dyDescent="0.3">
      <c r="A448" t="str">
        <v>E0447</v>
      </c>
      <c r="B448" t="str">
        <v>Information Technology</v>
      </c>
      <c r="C448" t="str">
        <v>Senior Systems Analyst</v>
      </c>
      <c r="D448" s="2">
        <v>96600</v>
      </c>
      <c r="E448" s="2">
        <v>98000</v>
      </c>
      <c r="F448" s="3">
        <v>0.98571428571428577</v>
      </c>
      <c r="G448" s="2">
        <v>2898</v>
      </c>
      <c r="H448" s="2">
        <v>99498</v>
      </c>
      <c r="I448">
        <v>0</v>
      </c>
      <c r="J448" s="2">
        <v>96600</v>
      </c>
      <c r="K448">
        <v>0</v>
      </c>
      <c r="L448" s="2">
        <v>96600</v>
      </c>
      <c r="M448" s="1">
        <v>0</v>
      </c>
      <c r="N448" s="1">
        <v>0</v>
      </c>
    </row>
    <row r="449" spans="1:14" x14ac:dyDescent="0.3">
      <c r="A449" t="str">
        <v>E0448</v>
      </c>
      <c r="B449" t="str">
        <v>Administration</v>
      </c>
      <c r="C449" t="str">
        <v>Administrative Coordinator</v>
      </c>
      <c r="D449" s="2">
        <v>51700</v>
      </c>
      <c r="E449" s="2">
        <v>58000</v>
      </c>
      <c r="F449" s="3">
        <v>0.89137931034482754</v>
      </c>
      <c r="G449" s="2">
        <v>1551</v>
      </c>
      <c r="H449" s="2">
        <v>53251</v>
      </c>
      <c r="I449">
        <v>500</v>
      </c>
      <c r="J449" s="2">
        <v>52200</v>
      </c>
      <c r="K449">
        <v>3400</v>
      </c>
      <c r="L449" s="2">
        <v>55100</v>
      </c>
      <c r="M449" s="1">
        <v>1</v>
      </c>
      <c r="N449" s="1">
        <v>1</v>
      </c>
    </row>
    <row r="450" spans="1:14" x14ac:dyDescent="0.3">
      <c r="A450" t="str">
        <v>E0449</v>
      </c>
      <c r="B450" t="str">
        <v>Information Technology</v>
      </c>
      <c r="C450" t="str">
        <v>Senior Systems Analyst</v>
      </c>
      <c r="D450" s="2">
        <v>95000</v>
      </c>
      <c r="E450" s="2">
        <v>98000</v>
      </c>
      <c r="F450" s="3">
        <v>0.96938775510204078</v>
      </c>
      <c r="G450" s="2">
        <v>2850</v>
      </c>
      <c r="H450" s="2">
        <v>97850</v>
      </c>
      <c r="I450">
        <v>0</v>
      </c>
      <c r="J450" s="2">
        <v>95000</v>
      </c>
      <c r="K450">
        <v>0</v>
      </c>
      <c r="L450" s="2">
        <v>95000</v>
      </c>
      <c r="M450" s="1">
        <v>0</v>
      </c>
      <c r="N450" s="1">
        <v>0</v>
      </c>
    </row>
    <row r="451" spans="1:14" x14ac:dyDescent="0.3">
      <c r="A451" t="str">
        <v>E0450</v>
      </c>
      <c r="B451" t="str">
        <v>Administration</v>
      </c>
      <c r="C451" t="str">
        <v>Administrative Coordinator</v>
      </c>
      <c r="D451" s="2">
        <v>58400</v>
      </c>
      <c r="E451" s="2">
        <v>58000</v>
      </c>
      <c r="F451" s="3">
        <v>1.0068965517241379</v>
      </c>
      <c r="G451" s="2">
        <v>1752</v>
      </c>
      <c r="H451" s="2">
        <v>60152</v>
      </c>
      <c r="I451">
        <v>0</v>
      </c>
      <c r="J451" s="2">
        <v>58400</v>
      </c>
      <c r="K451">
        <v>0</v>
      </c>
      <c r="L451" s="2">
        <v>58400</v>
      </c>
      <c r="M451" s="1">
        <v>0</v>
      </c>
      <c r="N451" s="1">
        <v>0</v>
      </c>
    </row>
    <row r="452" spans="1:14" x14ac:dyDescent="0.3">
      <c r="A452" t="str">
        <v>E0451</v>
      </c>
      <c r="B452" t="str">
        <v>Human Resources</v>
      </c>
      <c r="C452" t="str">
        <v>HR Advisor</v>
      </c>
      <c r="D452" s="2">
        <v>84900</v>
      </c>
      <c r="E452" s="2">
        <v>82000</v>
      </c>
      <c r="F452" s="3">
        <v>1.0353658536585366</v>
      </c>
      <c r="G452" s="2">
        <v>2547</v>
      </c>
      <c r="H452" s="2">
        <v>87447</v>
      </c>
      <c r="I452">
        <v>0</v>
      </c>
      <c r="J452" s="2">
        <v>84900</v>
      </c>
      <c r="K452">
        <v>0</v>
      </c>
      <c r="L452" s="2">
        <v>84900</v>
      </c>
      <c r="M452" s="1">
        <v>0</v>
      </c>
      <c r="N452" s="1">
        <v>0</v>
      </c>
    </row>
    <row r="453" spans="1:14" x14ac:dyDescent="0.3">
      <c r="A453" t="str">
        <v>E0452</v>
      </c>
      <c r="B453" t="str">
        <v>Finance</v>
      </c>
      <c r="C453" t="str">
        <v>Finance Assistant</v>
      </c>
      <c r="D453" s="2">
        <v>54000</v>
      </c>
      <c r="E453" s="2">
        <v>52000</v>
      </c>
      <c r="F453" s="3">
        <v>1.0384615384615385</v>
      </c>
      <c r="G453" s="2">
        <v>1620</v>
      </c>
      <c r="H453" s="2">
        <v>55620</v>
      </c>
      <c r="I453">
        <v>0</v>
      </c>
      <c r="J453" s="2">
        <v>54000</v>
      </c>
      <c r="K453">
        <v>0</v>
      </c>
      <c r="L453" s="2">
        <v>54000</v>
      </c>
      <c r="M453" s="1">
        <v>0</v>
      </c>
      <c r="N453" s="1">
        <v>0</v>
      </c>
    </row>
    <row r="454" spans="1:14" x14ac:dyDescent="0.3">
      <c r="A454" t="str">
        <v>E0453</v>
      </c>
      <c r="B454" t="str">
        <v>Finance</v>
      </c>
      <c r="C454" t="str">
        <v>Senior Financial Analyst</v>
      </c>
      <c r="D454" s="2">
        <v>98400</v>
      </c>
      <c r="E454" s="2">
        <v>88000</v>
      </c>
      <c r="F454" s="3">
        <v>1.1181818181818182</v>
      </c>
      <c r="G454" s="2">
        <v>2952</v>
      </c>
      <c r="H454" s="2">
        <v>101352</v>
      </c>
      <c r="I454">
        <v>0</v>
      </c>
      <c r="J454" s="2">
        <v>98400</v>
      </c>
      <c r="K454">
        <v>0</v>
      </c>
      <c r="L454" s="2">
        <v>98400</v>
      </c>
      <c r="M454" s="1">
        <v>0</v>
      </c>
      <c r="N454" s="1">
        <v>0</v>
      </c>
    </row>
    <row r="455" spans="1:14" x14ac:dyDescent="0.3">
      <c r="A455" t="str">
        <v>E0454</v>
      </c>
      <c r="B455" t="str">
        <v>Operations</v>
      </c>
      <c r="C455" t="str">
        <v>Operations Assistant</v>
      </c>
      <c r="D455" s="2">
        <v>55900</v>
      </c>
      <c r="E455" s="2">
        <v>50000</v>
      </c>
      <c r="F455" s="3">
        <v>1.1180000000000001</v>
      </c>
      <c r="G455" s="2">
        <v>1677</v>
      </c>
      <c r="H455" s="2">
        <v>57577</v>
      </c>
      <c r="I455">
        <v>0</v>
      </c>
      <c r="J455" s="2">
        <v>55900</v>
      </c>
      <c r="K455">
        <v>0</v>
      </c>
      <c r="L455" s="2">
        <v>55900</v>
      </c>
      <c r="M455" s="1">
        <v>0</v>
      </c>
      <c r="N455" s="1">
        <v>0</v>
      </c>
    </row>
    <row r="456" spans="1:14" x14ac:dyDescent="0.3">
      <c r="A456" t="str">
        <v>E0455</v>
      </c>
      <c r="B456" t="str">
        <v>Human Resources</v>
      </c>
      <c r="C456" t="str">
        <v>HR Analyst</v>
      </c>
      <c r="D456" s="2">
        <v>68100</v>
      </c>
      <c r="E456" s="2">
        <v>68000</v>
      </c>
      <c r="F456" s="3">
        <v>1.0014705882352941</v>
      </c>
      <c r="G456" s="2">
        <v>2043</v>
      </c>
      <c r="H456" s="2">
        <v>70143</v>
      </c>
      <c r="I456">
        <v>0</v>
      </c>
      <c r="J456" s="2">
        <v>68100</v>
      </c>
      <c r="K456">
        <v>0</v>
      </c>
      <c r="L456" s="2">
        <v>68100</v>
      </c>
      <c r="M456" s="1">
        <v>0</v>
      </c>
      <c r="N456" s="1">
        <v>0</v>
      </c>
    </row>
    <row r="457" spans="1:14" x14ac:dyDescent="0.3">
      <c r="A457" t="str">
        <v>E0456</v>
      </c>
      <c r="B457" t="str">
        <v>Finance</v>
      </c>
      <c r="C457" t="str">
        <v>Finance Assistant</v>
      </c>
      <c r="D457" s="2">
        <v>46600</v>
      </c>
      <c r="E457" s="2">
        <v>52000</v>
      </c>
      <c r="F457" s="3">
        <v>0.89615384615384619</v>
      </c>
      <c r="G457" s="2">
        <v>1398</v>
      </c>
      <c r="H457" s="2">
        <v>47998</v>
      </c>
      <c r="I457">
        <v>200</v>
      </c>
      <c r="J457" s="2">
        <v>46800</v>
      </c>
      <c r="K457">
        <v>2800</v>
      </c>
      <c r="L457" s="2">
        <v>49400</v>
      </c>
      <c r="M457" s="1">
        <v>1</v>
      </c>
      <c r="N457" s="1">
        <v>1</v>
      </c>
    </row>
    <row r="458" spans="1:14" x14ac:dyDescent="0.3">
      <c r="A458" t="str">
        <v>E0457</v>
      </c>
      <c r="B458" t="str">
        <v>Information Technology</v>
      </c>
      <c r="C458" t="str">
        <v>Systems Analyst</v>
      </c>
      <c r="D458" s="2">
        <v>74900</v>
      </c>
      <c r="E458" s="2">
        <v>78000</v>
      </c>
      <c r="F458" s="3">
        <v>0.96025641025641029</v>
      </c>
      <c r="G458" s="2">
        <v>2247</v>
      </c>
      <c r="H458" s="2">
        <v>77147</v>
      </c>
      <c r="I458">
        <v>0</v>
      </c>
      <c r="J458" s="2">
        <v>74900</v>
      </c>
      <c r="K458">
        <v>0</v>
      </c>
      <c r="L458" s="2">
        <v>74900</v>
      </c>
      <c r="M458" s="1">
        <v>0</v>
      </c>
      <c r="N458" s="1">
        <v>0</v>
      </c>
    </row>
    <row r="459" spans="1:14" x14ac:dyDescent="0.3">
      <c r="A459" t="str">
        <v>E0458</v>
      </c>
      <c r="B459" t="str">
        <v>Information Technology</v>
      </c>
      <c r="C459" t="str">
        <v>Systems Analyst</v>
      </c>
      <c r="D459" s="2">
        <v>75200</v>
      </c>
      <c r="E459" s="2">
        <v>78000</v>
      </c>
      <c r="F459" s="3">
        <v>0.96410256410256412</v>
      </c>
      <c r="G459" s="2">
        <v>2256</v>
      </c>
      <c r="H459" s="2">
        <v>77456</v>
      </c>
      <c r="I459">
        <v>0</v>
      </c>
      <c r="J459" s="2">
        <v>75200</v>
      </c>
      <c r="K459">
        <v>0</v>
      </c>
      <c r="L459" s="2">
        <v>75200</v>
      </c>
      <c r="M459" s="1">
        <v>0</v>
      </c>
      <c r="N459" s="1">
        <v>0</v>
      </c>
    </row>
    <row r="460" spans="1:14" x14ac:dyDescent="0.3">
      <c r="A460" t="str">
        <v>E0459</v>
      </c>
      <c r="B460" t="str">
        <v>Information Technology</v>
      </c>
      <c r="C460" t="str">
        <v>IT Support Analyst</v>
      </c>
      <c r="D460" s="2">
        <v>54500</v>
      </c>
      <c r="E460" s="2">
        <v>58000</v>
      </c>
      <c r="F460" s="3">
        <v>0.93965517241379315</v>
      </c>
      <c r="G460" s="2">
        <v>1635</v>
      </c>
      <c r="H460" s="2">
        <v>56135</v>
      </c>
      <c r="I460">
        <v>0</v>
      </c>
      <c r="J460" s="2">
        <v>54500</v>
      </c>
      <c r="K460">
        <v>600</v>
      </c>
      <c r="L460" s="2">
        <v>55100</v>
      </c>
      <c r="M460" s="1">
        <v>0</v>
      </c>
      <c r="N460" s="1">
        <v>1</v>
      </c>
    </row>
    <row r="461" spans="1:14" x14ac:dyDescent="0.3">
      <c r="A461" t="str">
        <v>E0460</v>
      </c>
      <c r="B461" t="str">
        <v>Information Technology</v>
      </c>
      <c r="C461" t="str">
        <v>Senior Systems Analyst</v>
      </c>
      <c r="D461" s="2">
        <v>91100</v>
      </c>
      <c r="E461" s="2">
        <v>98000</v>
      </c>
      <c r="F461" s="3">
        <v>0.92959183673469392</v>
      </c>
      <c r="G461" s="2">
        <v>2733</v>
      </c>
      <c r="H461" s="2">
        <v>93833</v>
      </c>
      <c r="I461">
        <v>0</v>
      </c>
      <c r="J461" s="2">
        <v>91100</v>
      </c>
      <c r="K461">
        <v>2000</v>
      </c>
      <c r="L461" s="2">
        <v>93100</v>
      </c>
      <c r="M461" s="1">
        <v>0</v>
      </c>
      <c r="N461" s="1">
        <v>1</v>
      </c>
    </row>
    <row r="462" spans="1:14" x14ac:dyDescent="0.3">
      <c r="A462" t="str">
        <v>E0461</v>
      </c>
      <c r="B462" t="str">
        <v>Operations</v>
      </c>
      <c r="C462" t="str">
        <v>Operations Analyst</v>
      </c>
      <c r="D462" s="2">
        <v>72500</v>
      </c>
      <c r="E462" s="2">
        <v>68000</v>
      </c>
      <c r="F462" s="3">
        <v>1.0661764705882353</v>
      </c>
      <c r="G462" s="2">
        <v>2175</v>
      </c>
      <c r="H462" s="2">
        <v>74675</v>
      </c>
      <c r="I462">
        <v>0</v>
      </c>
      <c r="J462" s="2">
        <v>72500</v>
      </c>
      <c r="K462">
        <v>0</v>
      </c>
      <c r="L462" s="2">
        <v>72500</v>
      </c>
      <c r="M462" s="1">
        <v>0</v>
      </c>
      <c r="N462" s="1">
        <v>0</v>
      </c>
    </row>
    <row r="463" spans="1:14" x14ac:dyDescent="0.3">
      <c r="A463" t="str">
        <v>E0462</v>
      </c>
      <c r="B463" t="str">
        <v>Operations</v>
      </c>
      <c r="C463" t="str">
        <v>Operations Assistant</v>
      </c>
      <c r="D463" s="2">
        <v>46300</v>
      </c>
      <c r="E463" s="2">
        <v>50000</v>
      </c>
      <c r="F463" s="3">
        <v>0.92600000000000005</v>
      </c>
      <c r="G463" s="2">
        <v>1389</v>
      </c>
      <c r="H463" s="2">
        <v>47689</v>
      </c>
      <c r="I463">
        <v>0</v>
      </c>
      <c r="J463" s="2">
        <v>46300</v>
      </c>
      <c r="K463">
        <v>1200</v>
      </c>
      <c r="L463" s="2">
        <v>47500</v>
      </c>
      <c r="M463" s="1">
        <v>0</v>
      </c>
      <c r="N463" s="1">
        <v>1</v>
      </c>
    </row>
    <row r="464" spans="1:14" x14ac:dyDescent="0.3">
      <c r="A464" t="str">
        <v>E0463</v>
      </c>
      <c r="B464" t="str">
        <v>Human Resources</v>
      </c>
      <c r="C464" t="str">
        <v>HR Analyst</v>
      </c>
      <c r="D464" s="2">
        <v>48100</v>
      </c>
      <c r="E464" s="2">
        <v>68000</v>
      </c>
      <c r="F464" s="3">
        <v>0.70735294117647063</v>
      </c>
      <c r="G464" s="2">
        <v>1443</v>
      </c>
      <c r="H464" s="2">
        <v>49543</v>
      </c>
      <c r="I464">
        <v>13100</v>
      </c>
      <c r="J464" s="2">
        <v>61200</v>
      </c>
      <c r="K464">
        <v>16500</v>
      </c>
      <c r="L464" s="2">
        <v>64600</v>
      </c>
      <c r="M464" s="1">
        <v>1</v>
      </c>
      <c r="N464" s="1">
        <v>1</v>
      </c>
    </row>
    <row r="465" spans="1:14" x14ac:dyDescent="0.3">
      <c r="A465" t="str">
        <v>E0464</v>
      </c>
      <c r="B465" t="str">
        <v>Operations</v>
      </c>
      <c r="C465" t="str">
        <v>Operations Manager</v>
      </c>
      <c r="D465" s="2">
        <v>88300</v>
      </c>
      <c r="E465" s="2">
        <v>85000</v>
      </c>
      <c r="F465" s="3">
        <v>1.0388235294117647</v>
      </c>
      <c r="G465" s="2">
        <v>2649</v>
      </c>
      <c r="H465" s="2">
        <v>90949</v>
      </c>
      <c r="I465">
        <v>0</v>
      </c>
      <c r="J465" s="2">
        <v>88300</v>
      </c>
      <c r="K465">
        <v>0</v>
      </c>
      <c r="L465" s="2">
        <v>88300</v>
      </c>
      <c r="M465" s="1">
        <v>0</v>
      </c>
      <c r="N465" s="1">
        <v>0</v>
      </c>
    </row>
    <row r="466" spans="1:14" x14ac:dyDescent="0.3">
      <c r="A466" t="str">
        <v>E0465</v>
      </c>
      <c r="B466" t="str">
        <v>Human Resources</v>
      </c>
      <c r="C466" t="str">
        <v>HR Advisor</v>
      </c>
      <c r="D466" s="2">
        <v>77000</v>
      </c>
      <c r="E466" s="2">
        <v>82000</v>
      </c>
      <c r="F466" s="3">
        <v>0.93902439024390238</v>
      </c>
      <c r="G466" s="2">
        <v>2310</v>
      </c>
      <c r="H466" s="2">
        <v>79310</v>
      </c>
      <c r="I466">
        <v>0</v>
      </c>
      <c r="J466" s="2">
        <v>77000</v>
      </c>
      <c r="K466">
        <v>900</v>
      </c>
      <c r="L466" s="2">
        <v>77900</v>
      </c>
      <c r="M466" s="1">
        <v>0</v>
      </c>
      <c r="N466" s="1">
        <v>1</v>
      </c>
    </row>
    <row r="467" spans="1:14" x14ac:dyDescent="0.3">
      <c r="A467" t="str">
        <v>E0466</v>
      </c>
      <c r="B467" t="str">
        <v>Operations</v>
      </c>
      <c r="C467" t="str">
        <v>Operations Assistant</v>
      </c>
      <c r="D467" s="2">
        <v>44500</v>
      </c>
      <c r="E467" s="2">
        <v>50000</v>
      </c>
      <c r="F467" s="3">
        <v>0.89</v>
      </c>
      <c r="G467" s="2">
        <v>1335</v>
      </c>
      <c r="H467" s="2">
        <v>45835</v>
      </c>
      <c r="I467">
        <v>500</v>
      </c>
      <c r="J467" s="2">
        <v>45000</v>
      </c>
      <c r="K467">
        <v>3000</v>
      </c>
      <c r="L467" s="2">
        <v>47500</v>
      </c>
      <c r="M467" s="1">
        <v>1</v>
      </c>
      <c r="N467" s="1">
        <v>1</v>
      </c>
    </row>
    <row r="468" spans="1:14" x14ac:dyDescent="0.3">
      <c r="A468" t="str">
        <v>E0467</v>
      </c>
      <c r="B468" t="str">
        <v>Finance</v>
      </c>
      <c r="C468" t="str">
        <v>Finance Assistant</v>
      </c>
      <c r="D468" s="2">
        <v>46500</v>
      </c>
      <c r="E468" s="2">
        <v>52000</v>
      </c>
      <c r="F468" s="3">
        <v>0.89423076923076927</v>
      </c>
      <c r="G468" s="2">
        <v>1395</v>
      </c>
      <c r="H468" s="2">
        <v>47895</v>
      </c>
      <c r="I468">
        <v>300</v>
      </c>
      <c r="J468" s="2">
        <v>46800</v>
      </c>
      <c r="K468">
        <v>2900</v>
      </c>
      <c r="L468" s="2">
        <v>49400</v>
      </c>
      <c r="M468" s="1">
        <v>1</v>
      </c>
      <c r="N468" s="1">
        <v>1</v>
      </c>
    </row>
    <row r="469" spans="1:14" x14ac:dyDescent="0.3">
      <c r="A469" t="str">
        <v>E0468</v>
      </c>
      <c r="B469" t="str">
        <v>Human Resources</v>
      </c>
      <c r="C469" t="str">
        <v>HR Assistant</v>
      </c>
      <c r="D469" s="2">
        <v>42200</v>
      </c>
      <c r="E469" s="2">
        <v>50000</v>
      </c>
      <c r="F469" s="3">
        <v>0.84399999999999997</v>
      </c>
      <c r="G469" s="2">
        <v>1266</v>
      </c>
      <c r="H469" s="2">
        <v>43466</v>
      </c>
      <c r="I469">
        <v>2800</v>
      </c>
      <c r="J469" s="2">
        <v>45000</v>
      </c>
      <c r="K469">
        <v>5300</v>
      </c>
      <c r="L469" s="2">
        <v>47500</v>
      </c>
      <c r="M469" s="1">
        <v>1</v>
      </c>
      <c r="N469" s="1">
        <v>1</v>
      </c>
    </row>
    <row r="470" spans="1:14" x14ac:dyDescent="0.3">
      <c r="A470" t="str">
        <v>E0469</v>
      </c>
      <c r="B470" t="str">
        <v>Administration</v>
      </c>
      <c r="C470" t="str">
        <v>Administrative Assistant</v>
      </c>
      <c r="D470" s="2">
        <v>42700</v>
      </c>
      <c r="E470" s="2">
        <v>48000</v>
      </c>
      <c r="F470" s="3">
        <v>0.88958333333333328</v>
      </c>
      <c r="G470" s="2">
        <v>1281</v>
      </c>
      <c r="H470" s="2">
        <v>43981</v>
      </c>
      <c r="I470">
        <v>500</v>
      </c>
      <c r="J470" s="2">
        <v>43200</v>
      </c>
      <c r="K470">
        <v>2900</v>
      </c>
      <c r="L470" s="2">
        <v>45600</v>
      </c>
      <c r="M470" s="1">
        <v>1</v>
      </c>
      <c r="N470" s="1">
        <v>1</v>
      </c>
    </row>
    <row r="471" spans="1:14" x14ac:dyDescent="0.3">
      <c r="A471" t="str">
        <v>E0470</v>
      </c>
      <c r="B471" t="str">
        <v>Administration</v>
      </c>
      <c r="C471" t="str">
        <v>Office Manager</v>
      </c>
      <c r="D471" s="2">
        <v>80100</v>
      </c>
      <c r="E471" s="2">
        <v>72000</v>
      </c>
      <c r="F471" s="3">
        <v>1.1125</v>
      </c>
      <c r="G471" s="2">
        <v>2403</v>
      </c>
      <c r="H471" s="2">
        <v>82503</v>
      </c>
      <c r="I471">
        <v>0</v>
      </c>
      <c r="J471" s="2">
        <v>80100</v>
      </c>
      <c r="K471">
        <v>0</v>
      </c>
      <c r="L471" s="2">
        <v>80100</v>
      </c>
      <c r="M471" s="1">
        <v>0</v>
      </c>
      <c r="N471" s="1">
        <v>0</v>
      </c>
    </row>
    <row r="472" spans="1:14" x14ac:dyDescent="0.3">
      <c r="A472" t="str">
        <v>E0471</v>
      </c>
      <c r="B472" t="str">
        <v>Policy &amp; Research</v>
      </c>
      <c r="C472" t="str">
        <v>Research Assistant</v>
      </c>
      <c r="D472" s="2">
        <v>56900</v>
      </c>
      <c r="E472" s="2">
        <v>52000</v>
      </c>
      <c r="F472" s="3">
        <v>1.0942307692307693</v>
      </c>
      <c r="G472" s="2">
        <v>1707</v>
      </c>
      <c r="H472" s="2">
        <v>58607</v>
      </c>
      <c r="I472">
        <v>0</v>
      </c>
      <c r="J472" s="2">
        <v>56900</v>
      </c>
      <c r="K472">
        <v>0</v>
      </c>
      <c r="L472" s="2">
        <v>56900</v>
      </c>
      <c r="M472" s="1">
        <v>0</v>
      </c>
      <c r="N472" s="1">
        <v>0</v>
      </c>
    </row>
    <row r="473" spans="1:14" x14ac:dyDescent="0.3">
      <c r="A473" t="str">
        <v>E0472</v>
      </c>
      <c r="B473" t="str">
        <v>Administration</v>
      </c>
      <c r="C473" t="str">
        <v>Administrative Assistant</v>
      </c>
      <c r="D473" s="2">
        <v>46600</v>
      </c>
      <c r="E473" s="2">
        <v>48000</v>
      </c>
      <c r="F473" s="3">
        <v>0.97083333333333333</v>
      </c>
      <c r="G473" s="2">
        <v>1398</v>
      </c>
      <c r="H473" s="2">
        <v>47998</v>
      </c>
      <c r="I473">
        <v>0</v>
      </c>
      <c r="J473" s="2">
        <v>46600</v>
      </c>
      <c r="K473">
        <v>0</v>
      </c>
      <c r="L473" s="2">
        <v>46600</v>
      </c>
      <c r="M473" s="1">
        <v>0</v>
      </c>
      <c r="N473" s="1">
        <v>0</v>
      </c>
    </row>
    <row r="474" spans="1:14" x14ac:dyDescent="0.3">
      <c r="A474" t="str">
        <v>E0473</v>
      </c>
      <c r="B474" t="str">
        <v>Operations</v>
      </c>
      <c r="C474" t="str">
        <v>Operations Analyst</v>
      </c>
      <c r="D474" s="2">
        <v>67300</v>
      </c>
      <c r="E474" s="2">
        <v>68000</v>
      </c>
      <c r="F474" s="3">
        <v>0.98970588235294121</v>
      </c>
      <c r="G474" s="2">
        <v>2019</v>
      </c>
      <c r="H474" s="2">
        <v>69319</v>
      </c>
      <c r="I474">
        <v>0</v>
      </c>
      <c r="J474" s="2">
        <v>67300</v>
      </c>
      <c r="K474">
        <v>0</v>
      </c>
      <c r="L474" s="2">
        <v>67300</v>
      </c>
      <c r="M474" s="1">
        <v>0</v>
      </c>
      <c r="N474" s="1">
        <v>0</v>
      </c>
    </row>
    <row r="475" spans="1:14" x14ac:dyDescent="0.3">
      <c r="A475" t="str">
        <v>E0474</v>
      </c>
      <c r="B475" t="str">
        <v>Administration</v>
      </c>
      <c r="C475" t="str">
        <v>Administrative Coordinator</v>
      </c>
      <c r="D475" s="2">
        <v>50000</v>
      </c>
      <c r="E475" s="2">
        <v>58000</v>
      </c>
      <c r="F475" s="3">
        <v>0.86206896551724133</v>
      </c>
      <c r="G475" s="2">
        <v>1500</v>
      </c>
      <c r="H475" s="2">
        <v>51500</v>
      </c>
      <c r="I475">
        <v>2200</v>
      </c>
      <c r="J475" s="2">
        <v>52200</v>
      </c>
      <c r="K475">
        <v>5100</v>
      </c>
      <c r="L475" s="2">
        <v>55100</v>
      </c>
      <c r="M475" s="1">
        <v>1</v>
      </c>
      <c r="N475" s="1">
        <v>1</v>
      </c>
    </row>
    <row r="476" spans="1:14" x14ac:dyDescent="0.3">
      <c r="A476" t="str">
        <v>E0475</v>
      </c>
      <c r="B476" t="str">
        <v>Human Resources</v>
      </c>
      <c r="C476" t="str">
        <v>HR Assistant</v>
      </c>
      <c r="D476" s="2">
        <v>47600</v>
      </c>
      <c r="E476" s="2">
        <v>50000</v>
      </c>
      <c r="F476" s="3">
        <v>0.95199999999999996</v>
      </c>
      <c r="G476" s="2">
        <v>1428</v>
      </c>
      <c r="H476" s="2">
        <v>49028</v>
      </c>
      <c r="I476">
        <v>0</v>
      </c>
      <c r="J476" s="2">
        <v>47600</v>
      </c>
      <c r="K476">
        <v>0</v>
      </c>
      <c r="L476" s="2">
        <v>47600</v>
      </c>
      <c r="M476" s="1">
        <v>0</v>
      </c>
      <c r="N476" s="1">
        <v>0</v>
      </c>
    </row>
    <row r="477" spans="1:14" x14ac:dyDescent="0.3">
      <c r="A477" t="str">
        <v>E0476</v>
      </c>
      <c r="B477" t="str">
        <v>Information Technology</v>
      </c>
      <c r="C477" t="str">
        <v>Senior Systems Analyst</v>
      </c>
      <c r="D477" s="2">
        <v>86000</v>
      </c>
      <c r="E477" s="2">
        <v>98000</v>
      </c>
      <c r="F477" s="3">
        <v>0.87755102040816324</v>
      </c>
      <c r="G477" s="2">
        <v>2580</v>
      </c>
      <c r="H477" s="2">
        <v>88580</v>
      </c>
      <c r="I477">
        <v>2200</v>
      </c>
      <c r="J477" s="2">
        <v>88200</v>
      </c>
      <c r="K477">
        <v>7100</v>
      </c>
      <c r="L477" s="2">
        <v>93100</v>
      </c>
      <c r="M477" s="1">
        <v>1</v>
      </c>
      <c r="N477" s="1">
        <v>1</v>
      </c>
    </row>
    <row r="478" spans="1:14" x14ac:dyDescent="0.3">
      <c r="A478" t="str">
        <v>E0477</v>
      </c>
      <c r="B478" t="str">
        <v>Human Resources</v>
      </c>
      <c r="C478" t="str">
        <v>HR Advisor</v>
      </c>
      <c r="D478" s="2">
        <v>72100</v>
      </c>
      <c r="E478" s="2">
        <v>82000</v>
      </c>
      <c r="F478" s="3">
        <v>0.87926829268292683</v>
      </c>
      <c r="G478" s="2">
        <v>2163</v>
      </c>
      <c r="H478" s="2">
        <v>74263</v>
      </c>
      <c r="I478">
        <v>1700</v>
      </c>
      <c r="J478" s="2">
        <v>73800</v>
      </c>
      <c r="K478">
        <v>5800</v>
      </c>
      <c r="L478" s="2">
        <v>77900</v>
      </c>
      <c r="M478" s="1">
        <v>1</v>
      </c>
      <c r="N478" s="1">
        <v>1</v>
      </c>
    </row>
    <row r="479" spans="1:14" x14ac:dyDescent="0.3">
      <c r="A479" t="str">
        <v>E0478</v>
      </c>
      <c r="B479" t="str">
        <v>Information Technology</v>
      </c>
      <c r="C479" t="str">
        <v>Systems Analyst</v>
      </c>
      <c r="D479" s="2">
        <v>70100</v>
      </c>
      <c r="E479" s="2">
        <v>78000</v>
      </c>
      <c r="F479" s="3">
        <v>0.89871794871794874</v>
      </c>
      <c r="G479" s="2">
        <v>2103</v>
      </c>
      <c r="H479" s="2">
        <v>72203</v>
      </c>
      <c r="I479">
        <v>100</v>
      </c>
      <c r="J479" s="2">
        <v>70200</v>
      </c>
      <c r="K479">
        <v>4000</v>
      </c>
      <c r="L479" s="2">
        <v>74100</v>
      </c>
      <c r="M479" s="1">
        <v>1</v>
      </c>
      <c r="N479" s="1">
        <v>1</v>
      </c>
    </row>
    <row r="480" spans="1:14" x14ac:dyDescent="0.3">
      <c r="A480" t="str">
        <v>E0479</v>
      </c>
      <c r="B480" t="str">
        <v>Policy &amp; Research</v>
      </c>
      <c r="C480" t="str">
        <v>Senior Policy Analyst</v>
      </c>
      <c r="D480" s="2">
        <v>82900</v>
      </c>
      <c r="E480" s="2">
        <v>90000</v>
      </c>
      <c r="F480" s="3">
        <v>0.9211111111111111</v>
      </c>
      <c r="G480" s="2">
        <v>2487</v>
      </c>
      <c r="H480" s="2">
        <v>85387</v>
      </c>
      <c r="I480">
        <v>0</v>
      </c>
      <c r="J480" s="2">
        <v>82900</v>
      </c>
      <c r="K480">
        <v>2600</v>
      </c>
      <c r="L480" s="2">
        <v>85500</v>
      </c>
      <c r="M480" s="1">
        <v>0</v>
      </c>
      <c r="N480" s="1">
        <v>1</v>
      </c>
    </row>
    <row r="481" spans="1:14" x14ac:dyDescent="0.3">
      <c r="A481" t="str">
        <v>E0480</v>
      </c>
      <c r="B481" t="str">
        <v>Finance</v>
      </c>
      <c r="C481" t="str">
        <v>Financial Analyst</v>
      </c>
      <c r="D481" s="2">
        <v>55600</v>
      </c>
      <c r="E481" s="2">
        <v>70000</v>
      </c>
      <c r="F481" s="3">
        <v>0.79428571428571426</v>
      </c>
      <c r="G481" s="2">
        <v>1668</v>
      </c>
      <c r="H481" s="2">
        <v>57268</v>
      </c>
      <c r="I481">
        <v>7400</v>
      </c>
      <c r="J481" s="2">
        <v>63000</v>
      </c>
      <c r="K481">
        <v>10900</v>
      </c>
      <c r="L481" s="2">
        <v>66500</v>
      </c>
      <c r="M481" s="1">
        <v>1</v>
      </c>
      <c r="N481" s="1">
        <v>1</v>
      </c>
    </row>
    <row r="482" spans="1:14" x14ac:dyDescent="0.3">
      <c r="A482" t="str">
        <v>E0481</v>
      </c>
      <c r="B482" t="str">
        <v>Administration</v>
      </c>
      <c r="C482" t="str">
        <v>Administrative Coordinator</v>
      </c>
      <c r="D482" s="2">
        <v>54100</v>
      </c>
      <c r="E482" s="2">
        <v>58000</v>
      </c>
      <c r="F482" s="3">
        <v>0.9327586206896552</v>
      </c>
      <c r="G482" s="2">
        <v>1623</v>
      </c>
      <c r="H482" s="2">
        <v>55723</v>
      </c>
      <c r="I482">
        <v>0</v>
      </c>
      <c r="J482" s="2">
        <v>54100</v>
      </c>
      <c r="K482">
        <v>1000</v>
      </c>
      <c r="L482" s="2">
        <v>55100</v>
      </c>
      <c r="M482" s="1">
        <v>0</v>
      </c>
      <c r="N482" s="1">
        <v>1</v>
      </c>
    </row>
    <row r="483" spans="1:14" x14ac:dyDescent="0.3">
      <c r="A483" t="str">
        <v>E0482</v>
      </c>
      <c r="B483" t="str">
        <v>Operations</v>
      </c>
      <c r="C483" t="str">
        <v>Operations Manager</v>
      </c>
      <c r="D483" s="2">
        <v>107900</v>
      </c>
      <c r="E483" s="2">
        <v>85000</v>
      </c>
      <c r="F483" s="3">
        <v>1.2694117647058825</v>
      </c>
      <c r="G483" s="2">
        <v>3237</v>
      </c>
      <c r="H483" s="2">
        <v>111137</v>
      </c>
      <c r="I483">
        <v>0</v>
      </c>
      <c r="J483" s="2">
        <v>107900</v>
      </c>
      <c r="K483">
        <v>0</v>
      </c>
      <c r="L483" s="2">
        <v>107900</v>
      </c>
      <c r="M483" s="1">
        <v>0</v>
      </c>
      <c r="N483" s="1">
        <v>0</v>
      </c>
    </row>
    <row r="484" spans="1:14" x14ac:dyDescent="0.3">
      <c r="A484" t="str">
        <v>E0483</v>
      </c>
      <c r="B484" t="str">
        <v>Human Resources</v>
      </c>
      <c r="C484" t="str">
        <v>HR Analyst</v>
      </c>
      <c r="D484" s="2">
        <v>52200</v>
      </c>
      <c r="E484" s="2">
        <v>68000</v>
      </c>
      <c r="F484" s="3">
        <v>0.76764705882352946</v>
      </c>
      <c r="G484" s="2">
        <v>1566</v>
      </c>
      <c r="H484" s="2">
        <v>53766</v>
      </c>
      <c r="I484">
        <v>9000</v>
      </c>
      <c r="J484" s="2">
        <v>61200</v>
      </c>
      <c r="K484">
        <v>12400</v>
      </c>
      <c r="L484" s="2">
        <v>64600</v>
      </c>
      <c r="M484" s="1">
        <v>1</v>
      </c>
      <c r="N484" s="1">
        <v>1</v>
      </c>
    </row>
    <row r="485" spans="1:14" x14ac:dyDescent="0.3">
      <c r="A485" t="str">
        <v>E0484</v>
      </c>
      <c r="B485" t="str">
        <v>Information Technology</v>
      </c>
      <c r="C485" t="str">
        <v>IT Support Analyst</v>
      </c>
      <c r="D485" s="2">
        <v>56300</v>
      </c>
      <c r="E485" s="2">
        <v>58000</v>
      </c>
      <c r="F485" s="3">
        <v>0.97068965517241379</v>
      </c>
      <c r="G485" s="2">
        <v>1689</v>
      </c>
      <c r="H485" s="2">
        <v>57989</v>
      </c>
      <c r="I485">
        <v>0</v>
      </c>
      <c r="J485" s="2">
        <v>56300</v>
      </c>
      <c r="K485">
        <v>0</v>
      </c>
      <c r="L485" s="2">
        <v>56300</v>
      </c>
      <c r="M485" s="1">
        <v>0</v>
      </c>
      <c r="N485" s="1">
        <v>0</v>
      </c>
    </row>
    <row r="486" spans="1:14" x14ac:dyDescent="0.3">
      <c r="A486" t="str">
        <v>E0485</v>
      </c>
      <c r="B486" t="str">
        <v>Administration</v>
      </c>
      <c r="C486" t="str">
        <v>Office Manager</v>
      </c>
      <c r="D486" s="2">
        <v>59600</v>
      </c>
      <c r="E486" s="2">
        <v>72000</v>
      </c>
      <c r="F486" s="3">
        <v>0.82777777777777772</v>
      </c>
      <c r="G486" s="2">
        <v>1788</v>
      </c>
      <c r="H486" s="2">
        <v>61388</v>
      </c>
      <c r="I486">
        <v>5200</v>
      </c>
      <c r="J486" s="2">
        <v>64800</v>
      </c>
      <c r="K486">
        <v>8800</v>
      </c>
      <c r="L486" s="2">
        <v>68400</v>
      </c>
      <c r="M486" s="1">
        <v>1</v>
      </c>
      <c r="N486" s="1">
        <v>1</v>
      </c>
    </row>
    <row r="487" spans="1:14" x14ac:dyDescent="0.3">
      <c r="A487" t="str">
        <v>E0486</v>
      </c>
      <c r="B487" t="str">
        <v>Information Technology</v>
      </c>
      <c r="C487" t="str">
        <v>Systems Analyst</v>
      </c>
      <c r="D487" s="2">
        <v>75000</v>
      </c>
      <c r="E487" s="2">
        <v>78000</v>
      </c>
      <c r="F487" s="3">
        <v>0.96153846153846156</v>
      </c>
      <c r="G487" s="2">
        <v>2250</v>
      </c>
      <c r="H487" s="2">
        <v>77250</v>
      </c>
      <c r="I487">
        <v>0</v>
      </c>
      <c r="J487" s="2">
        <v>75000</v>
      </c>
      <c r="K487">
        <v>0</v>
      </c>
      <c r="L487" s="2">
        <v>75000</v>
      </c>
      <c r="M487" s="1">
        <v>0</v>
      </c>
      <c r="N487" s="1">
        <v>0</v>
      </c>
    </row>
    <row r="488" spans="1:14" x14ac:dyDescent="0.3">
      <c r="A488" t="str">
        <v>E0487</v>
      </c>
      <c r="B488" t="str">
        <v>Human Resources</v>
      </c>
      <c r="C488" t="str">
        <v>HR Assistant</v>
      </c>
      <c r="D488" s="2">
        <v>47600</v>
      </c>
      <c r="E488" s="2">
        <v>50000</v>
      </c>
      <c r="F488" s="3">
        <v>0.95199999999999996</v>
      </c>
      <c r="G488" s="2">
        <v>1428</v>
      </c>
      <c r="H488" s="2">
        <v>49028</v>
      </c>
      <c r="I488">
        <v>0</v>
      </c>
      <c r="J488" s="2">
        <v>47600</v>
      </c>
      <c r="K488">
        <v>0</v>
      </c>
      <c r="L488" s="2">
        <v>47600</v>
      </c>
      <c r="M488" s="1">
        <v>0</v>
      </c>
      <c r="N488" s="1">
        <v>0</v>
      </c>
    </row>
    <row r="489" spans="1:14" x14ac:dyDescent="0.3">
      <c r="A489" t="str">
        <v>E0488</v>
      </c>
      <c r="B489" t="str">
        <v>Information Technology</v>
      </c>
      <c r="C489" t="str">
        <v>IT Support Analyst</v>
      </c>
      <c r="D489" s="2">
        <v>47700</v>
      </c>
      <c r="E489" s="2">
        <v>58000</v>
      </c>
      <c r="F489" s="3">
        <v>0.82241379310344831</v>
      </c>
      <c r="G489" s="2">
        <v>1431</v>
      </c>
      <c r="H489" s="2">
        <v>49131</v>
      </c>
      <c r="I489">
        <v>4500</v>
      </c>
      <c r="J489" s="2">
        <v>52200</v>
      </c>
      <c r="K489">
        <v>7400</v>
      </c>
      <c r="L489" s="2">
        <v>55100</v>
      </c>
      <c r="M489" s="1">
        <v>1</v>
      </c>
      <c r="N489" s="1">
        <v>1</v>
      </c>
    </row>
    <row r="490" spans="1:14" x14ac:dyDescent="0.3">
      <c r="A490" t="str">
        <v>E0489</v>
      </c>
      <c r="B490" t="str">
        <v>Information Technology</v>
      </c>
      <c r="C490" t="str">
        <v>Senior Systems Analyst</v>
      </c>
      <c r="D490" s="2">
        <v>85900</v>
      </c>
      <c r="E490" s="2">
        <v>98000</v>
      </c>
      <c r="F490" s="3">
        <v>0.87653061224489792</v>
      </c>
      <c r="G490" s="2">
        <v>2577</v>
      </c>
      <c r="H490" s="2">
        <v>88477</v>
      </c>
      <c r="I490">
        <v>2300</v>
      </c>
      <c r="J490" s="2">
        <v>88200</v>
      </c>
      <c r="K490">
        <v>7200</v>
      </c>
      <c r="L490" s="2">
        <v>93100</v>
      </c>
      <c r="M490" s="1">
        <v>1</v>
      </c>
      <c r="N490" s="1">
        <v>1</v>
      </c>
    </row>
    <row r="491" spans="1:14" x14ac:dyDescent="0.3">
      <c r="A491" t="str">
        <v>E0490</v>
      </c>
      <c r="B491" t="str">
        <v>Administration</v>
      </c>
      <c r="C491" t="str">
        <v>Office Manager</v>
      </c>
      <c r="D491" s="2">
        <v>69900</v>
      </c>
      <c r="E491" s="2">
        <v>72000</v>
      </c>
      <c r="F491" s="3">
        <v>0.97083333333333333</v>
      </c>
      <c r="G491" s="2">
        <v>2097</v>
      </c>
      <c r="H491" s="2">
        <v>71997</v>
      </c>
      <c r="I491">
        <v>0</v>
      </c>
      <c r="J491" s="2">
        <v>69900</v>
      </c>
      <c r="K491">
        <v>0</v>
      </c>
      <c r="L491" s="2">
        <v>69900</v>
      </c>
      <c r="M491" s="1">
        <v>0</v>
      </c>
      <c r="N491" s="1">
        <v>0</v>
      </c>
    </row>
    <row r="492" spans="1:14" x14ac:dyDescent="0.3">
      <c r="A492" t="str">
        <v>E0491</v>
      </c>
      <c r="B492" t="str">
        <v>Administration</v>
      </c>
      <c r="C492" t="str">
        <v>Office Manager</v>
      </c>
      <c r="D492" s="2">
        <v>76700</v>
      </c>
      <c r="E492" s="2">
        <v>72000</v>
      </c>
      <c r="F492" s="3">
        <v>1.0652777777777778</v>
      </c>
      <c r="G492" s="2">
        <v>2301</v>
      </c>
      <c r="H492" s="2">
        <v>79001</v>
      </c>
      <c r="I492">
        <v>0</v>
      </c>
      <c r="J492" s="2">
        <v>76700</v>
      </c>
      <c r="K492">
        <v>0</v>
      </c>
      <c r="L492" s="2">
        <v>76700</v>
      </c>
      <c r="M492" s="1">
        <v>0</v>
      </c>
      <c r="N492" s="1">
        <v>0</v>
      </c>
    </row>
    <row r="493" spans="1:14" x14ac:dyDescent="0.3">
      <c r="A493" t="str">
        <v>E0492</v>
      </c>
      <c r="B493" t="str">
        <v>Information Technology</v>
      </c>
      <c r="C493" t="str">
        <v>Systems Analyst</v>
      </c>
      <c r="D493" s="2">
        <v>85300</v>
      </c>
      <c r="E493" s="2">
        <v>78000</v>
      </c>
      <c r="F493" s="3">
        <v>1.0935897435897435</v>
      </c>
      <c r="G493" s="2">
        <v>2559</v>
      </c>
      <c r="H493" s="2">
        <v>87859</v>
      </c>
      <c r="I493">
        <v>0</v>
      </c>
      <c r="J493" s="2">
        <v>85300</v>
      </c>
      <c r="K493">
        <v>0</v>
      </c>
      <c r="L493" s="2">
        <v>85300</v>
      </c>
      <c r="M493" s="1">
        <v>0</v>
      </c>
      <c r="N493" s="1">
        <v>0</v>
      </c>
    </row>
    <row r="494" spans="1:14" x14ac:dyDescent="0.3">
      <c r="A494" t="str">
        <v>E0493</v>
      </c>
      <c r="B494" t="str">
        <v>Administration</v>
      </c>
      <c r="C494" t="str">
        <v>Administrative Assistant</v>
      </c>
      <c r="D494" s="2">
        <v>46500</v>
      </c>
      <c r="E494" s="2">
        <v>48000</v>
      </c>
      <c r="F494" s="3">
        <v>0.96875</v>
      </c>
      <c r="G494" s="2">
        <v>1395</v>
      </c>
      <c r="H494" s="2">
        <v>47895</v>
      </c>
      <c r="I494">
        <v>0</v>
      </c>
      <c r="J494" s="2">
        <v>46500</v>
      </c>
      <c r="K494">
        <v>0</v>
      </c>
      <c r="L494" s="2">
        <v>46500</v>
      </c>
      <c r="M494" s="1">
        <v>0</v>
      </c>
      <c r="N494" s="1">
        <v>0</v>
      </c>
    </row>
    <row r="495" spans="1:14" x14ac:dyDescent="0.3">
      <c r="A495" t="str">
        <v>E0494</v>
      </c>
      <c r="B495" t="str">
        <v>Policy &amp; Research</v>
      </c>
      <c r="C495" t="str">
        <v>Research Assistant</v>
      </c>
      <c r="D495" s="2">
        <v>47600</v>
      </c>
      <c r="E495" s="2">
        <v>52000</v>
      </c>
      <c r="F495" s="3">
        <v>0.91538461538461535</v>
      </c>
      <c r="G495" s="2">
        <v>1428</v>
      </c>
      <c r="H495" s="2">
        <v>49028</v>
      </c>
      <c r="I495">
        <v>0</v>
      </c>
      <c r="J495" s="2">
        <v>47600</v>
      </c>
      <c r="K495">
        <v>1800</v>
      </c>
      <c r="L495" s="2">
        <v>49400</v>
      </c>
      <c r="M495" s="1">
        <v>0</v>
      </c>
      <c r="N495" s="1">
        <v>1</v>
      </c>
    </row>
    <row r="496" spans="1:14" x14ac:dyDescent="0.3">
      <c r="A496" t="str">
        <v>E0495</v>
      </c>
      <c r="B496" t="str">
        <v>Finance</v>
      </c>
      <c r="C496" t="str">
        <v>Financial Analyst</v>
      </c>
      <c r="D496" s="2">
        <v>57200</v>
      </c>
      <c r="E496" s="2">
        <v>70000</v>
      </c>
      <c r="F496" s="3">
        <v>0.81714285714285717</v>
      </c>
      <c r="G496" s="2">
        <v>1716</v>
      </c>
      <c r="H496" s="2">
        <v>58916</v>
      </c>
      <c r="I496">
        <v>5800</v>
      </c>
      <c r="J496" s="2">
        <v>63000</v>
      </c>
      <c r="K496">
        <v>9300</v>
      </c>
      <c r="L496" s="2">
        <v>66500</v>
      </c>
      <c r="M496" s="1">
        <v>1</v>
      </c>
      <c r="N496" s="1">
        <v>1</v>
      </c>
    </row>
    <row r="497" spans="1:14" x14ac:dyDescent="0.3">
      <c r="A497" t="str">
        <v>E0496</v>
      </c>
      <c r="B497" t="str">
        <v>Finance</v>
      </c>
      <c r="C497" t="str">
        <v>Financial Analyst</v>
      </c>
      <c r="D497" s="2">
        <v>74100</v>
      </c>
      <c r="E497" s="2">
        <v>70000</v>
      </c>
      <c r="F497" s="3">
        <v>1.0585714285714285</v>
      </c>
      <c r="G497" s="2">
        <v>2223</v>
      </c>
      <c r="H497" s="2">
        <v>76323</v>
      </c>
      <c r="I497">
        <v>0</v>
      </c>
      <c r="J497" s="2">
        <v>74100</v>
      </c>
      <c r="K497">
        <v>0</v>
      </c>
      <c r="L497" s="2">
        <v>74100</v>
      </c>
      <c r="M497" s="1">
        <v>0</v>
      </c>
      <c r="N497" s="1">
        <v>0</v>
      </c>
    </row>
    <row r="498" spans="1:14" x14ac:dyDescent="0.3">
      <c r="A498" t="str">
        <v>E0497</v>
      </c>
      <c r="B498" t="str">
        <v>Operations</v>
      </c>
      <c r="C498" t="str">
        <v>Operations Analyst</v>
      </c>
      <c r="D498" s="2">
        <v>60800</v>
      </c>
      <c r="E498" s="2">
        <v>68000</v>
      </c>
      <c r="F498" s="3">
        <v>0.89411764705882357</v>
      </c>
      <c r="G498" s="2">
        <v>1824</v>
      </c>
      <c r="H498" s="2">
        <v>62624</v>
      </c>
      <c r="I498">
        <v>400</v>
      </c>
      <c r="J498" s="2">
        <v>61200</v>
      </c>
      <c r="K498">
        <v>3800</v>
      </c>
      <c r="L498" s="2">
        <v>64600</v>
      </c>
      <c r="M498" s="1">
        <v>1</v>
      </c>
      <c r="N498" s="1">
        <v>1</v>
      </c>
    </row>
    <row r="499" spans="1:14" x14ac:dyDescent="0.3">
      <c r="A499" t="str">
        <v>E0498</v>
      </c>
      <c r="B499" t="str">
        <v>Administration</v>
      </c>
      <c r="C499" t="str">
        <v>Office Manager</v>
      </c>
      <c r="D499" s="2">
        <v>65400</v>
      </c>
      <c r="E499" s="2">
        <v>72000</v>
      </c>
      <c r="F499" s="3">
        <v>0.90833333333333333</v>
      </c>
      <c r="G499" s="2">
        <v>1962</v>
      </c>
      <c r="H499" s="2">
        <v>67362</v>
      </c>
      <c r="I499">
        <v>0</v>
      </c>
      <c r="J499" s="2">
        <v>65400</v>
      </c>
      <c r="K499">
        <v>3000</v>
      </c>
      <c r="L499" s="2">
        <v>68400</v>
      </c>
      <c r="M499" s="1">
        <v>0</v>
      </c>
      <c r="N499" s="1">
        <v>1</v>
      </c>
    </row>
    <row r="500" spans="1:14" x14ac:dyDescent="0.3">
      <c r="A500" t="str">
        <v>E0499</v>
      </c>
      <c r="B500" t="str">
        <v>Human Resources</v>
      </c>
      <c r="C500" t="str">
        <v>HR Assistant</v>
      </c>
      <c r="D500" s="2">
        <v>51500</v>
      </c>
      <c r="E500" s="2">
        <v>50000</v>
      </c>
      <c r="F500" s="3">
        <v>1.03</v>
      </c>
      <c r="G500" s="2">
        <v>1545</v>
      </c>
      <c r="H500" s="2">
        <v>53045</v>
      </c>
      <c r="I500">
        <v>0</v>
      </c>
      <c r="J500" s="2">
        <v>51500</v>
      </c>
      <c r="K500">
        <v>0</v>
      </c>
      <c r="L500" s="2">
        <v>51500</v>
      </c>
      <c r="M500" s="1">
        <v>0</v>
      </c>
      <c r="N500" s="1">
        <v>0</v>
      </c>
    </row>
    <row r="501" spans="1:14" x14ac:dyDescent="0.3">
      <c r="A501" t="str">
        <v>E0500</v>
      </c>
      <c r="B501" t="str">
        <v>Operations</v>
      </c>
      <c r="C501" t="str">
        <v>Operations Manager</v>
      </c>
      <c r="D501" s="2">
        <v>86000</v>
      </c>
      <c r="E501" s="2">
        <v>85000</v>
      </c>
      <c r="F501" s="3">
        <v>1.0117647058823529</v>
      </c>
      <c r="G501" s="2">
        <v>2580</v>
      </c>
      <c r="H501" s="2">
        <v>88580</v>
      </c>
      <c r="I501">
        <v>0</v>
      </c>
      <c r="J501" s="2">
        <v>86000</v>
      </c>
      <c r="K501">
        <v>0</v>
      </c>
      <c r="L501" s="2">
        <v>86000</v>
      </c>
      <c r="M501" s="1">
        <v>0</v>
      </c>
      <c r="N50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330-F945-4FE8-813D-DF1F6FE2D33B}">
  <sheetPr>
    <pageSetUpPr fitToPage="1"/>
  </sheetPr>
  <dimension ref="A1:O52"/>
  <sheetViews>
    <sheetView tabSelected="1" topLeftCell="K36" zoomScale="70" zoomScaleNormal="70" workbookViewId="0">
      <selection activeCell="R52" sqref="A1:R52"/>
    </sheetView>
  </sheetViews>
  <sheetFormatPr defaultRowHeight="14.4" x14ac:dyDescent="0.3"/>
  <cols>
    <col min="11" max="11" width="8.88671875" customWidth="1"/>
  </cols>
  <sheetData>
    <row r="1" spans="1:15" x14ac:dyDescent="0.3">
      <c r="A1" s="19" t="s">
        <v>588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5" x14ac:dyDescent="0.3">
      <c r="A3" s="18" t="s">
        <v>589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5" x14ac:dyDescent="0.3">
      <c r="A5" s="24" t="s">
        <v>590</v>
      </c>
      <c r="B5" s="24"/>
      <c r="C5" s="24"/>
      <c r="E5" s="24" t="s">
        <v>591</v>
      </c>
      <c r="F5" s="24"/>
      <c r="G5" s="24"/>
      <c r="I5" s="24" t="s">
        <v>592</v>
      </c>
      <c r="J5" s="24"/>
      <c r="K5" s="24"/>
      <c r="M5" s="24" t="s">
        <v>601</v>
      </c>
      <c r="N5" s="24"/>
      <c r="O5" s="24"/>
    </row>
    <row r="6" spans="1:15" ht="15.6" x14ac:dyDescent="0.3">
      <c r="A6" s="21">
        <f>COUNTA(employee_data[Employee_ID])</f>
        <v>500</v>
      </c>
      <c r="B6" s="21"/>
      <c r="C6" s="21"/>
      <c r="E6" s="22">
        <f>SUM(employee_data[Current_Salary])</f>
        <v>32490900</v>
      </c>
      <c r="F6" s="22"/>
      <c r="G6" s="22"/>
      <c r="I6" s="23">
        <f>AVERAGE(employee_data[Market_Position])</f>
        <v>0.95643072513407668</v>
      </c>
      <c r="J6" s="23"/>
      <c r="K6" s="23"/>
      <c r="M6" s="23">
        <f>COUNTIF(employee_data[Market_Position],"&lt;95%")/COUNTA(employee_data[Employee_ID])</f>
        <v>0.45600000000000002</v>
      </c>
      <c r="N6" s="23"/>
      <c r="O6" s="23"/>
    </row>
    <row r="7" spans="1:15" ht="14.4" hidden="1" customHeight="1" x14ac:dyDescent="0.3">
      <c r="A7" s="21"/>
      <c r="B7" s="21"/>
      <c r="C7" s="21"/>
    </row>
    <row r="8" spans="1:15" ht="14.4" hidden="1" customHeight="1" x14ac:dyDescent="0.3">
      <c r="A8" s="21"/>
      <c r="B8" s="21"/>
      <c r="C8" s="21"/>
    </row>
    <row r="41" spans="1:15" ht="18" x14ac:dyDescent="0.35">
      <c r="A41" s="25" t="s">
        <v>593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3" spans="1:15" x14ac:dyDescent="0.3">
      <c r="A43" s="27" t="s">
        <v>594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</sheetData>
  <mergeCells count="12">
    <mergeCell ref="M5:O5"/>
    <mergeCell ref="A41:N41"/>
    <mergeCell ref="A43:O52"/>
    <mergeCell ref="A1:N2"/>
    <mergeCell ref="A3:N3"/>
    <mergeCell ref="A5:C5"/>
    <mergeCell ref="A6:C8"/>
    <mergeCell ref="E5:G5"/>
    <mergeCell ref="E6:G6"/>
    <mergeCell ref="I5:K5"/>
    <mergeCell ref="I6:K6"/>
    <mergeCell ref="M6:O6"/>
  </mergeCells>
  <pageMargins left="0.25" right="0.25" top="0.75" bottom="0.75" header="0.3" footer="0.3"/>
  <pageSetup scale="6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682-CD42-42B7-B3FB-A22AFC2EF83B}">
  <dimension ref="A1:H54"/>
  <sheetViews>
    <sheetView zoomScale="90" zoomScaleNormal="90" workbookViewId="0">
      <selection sqref="A1:I55"/>
    </sheetView>
  </sheetViews>
  <sheetFormatPr defaultRowHeight="14.4" x14ac:dyDescent="0.3"/>
  <cols>
    <col min="1" max="1" width="20.21875" customWidth="1"/>
    <col min="2" max="2" width="25.109375" customWidth="1"/>
    <col min="3" max="3" width="12.33203125" customWidth="1"/>
    <col min="4" max="4" width="17" customWidth="1"/>
    <col min="6" max="6" width="8.88671875" customWidth="1"/>
  </cols>
  <sheetData>
    <row r="1" spans="1:8" ht="18" x14ac:dyDescent="0.3">
      <c r="A1" s="30" t="s">
        <v>595</v>
      </c>
      <c r="B1" s="28"/>
      <c r="C1" s="28"/>
      <c r="D1" s="28"/>
      <c r="E1" s="28"/>
      <c r="F1" s="28"/>
      <c r="G1" s="28"/>
      <c r="H1" s="28"/>
    </row>
    <row r="2" spans="1:8" x14ac:dyDescent="0.3">
      <c r="A2" s="29"/>
      <c r="B2" s="29"/>
      <c r="C2" s="29"/>
      <c r="D2" s="29"/>
      <c r="E2" s="29"/>
      <c r="F2" s="29"/>
      <c r="G2" s="29"/>
      <c r="H2" s="29"/>
    </row>
    <row r="3" spans="1:8" ht="14.4" customHeight="1" x14ac:dyDescent="0.3">
      <c r="A3" s="31" t="s">
        <v>596</v>
      </c>
      <c r="B3" s="31"/>
      <c r="C3" s="31"/>
      <c r="D3" s="31"/>
      <c r="E3" s="31"/>
      <c r="F3" s="31"/>
      <c r="G3" s="31"/>
    </row>
    <row r="4" spans="1:8" x14ac:dyDescent="0.3">
      <c r="A4" s="31"/>
      <c r="B4" s="31"/>
      <c r="C4" s="31"/>
      <c r="D4" s="31"/>
      <c r="E4" s="31"/>
      <c r="F4" s="31"/>
      <c r="G4" s="31"/>
    </row>
    <row r="5" spans="1:8" x14ac:dyDescent="0.3">
      <c r="A5" s="31"/>
      <c r="B5" s="31"/>
      <c r="C5" s="31"/>
      <c r="D5" s="31"/>
      <c r="E5" s="31"/>
      <c r="F5" s="31"/>
      <c r="G5" s="31"/>
    </row>
    <row r="6" spans="1:8" x14ac:dyDescent="0.3">
      <c r="A6" s="31"/>
      <c r="B6" s="31"/>
      <c r="C6" s="31"/>
      <c r="D6" s="31"/>
      <c r="E6" s="31"/>
      <c r="F6" s="31"/>
      <c r="G6" s="31"/>
    </row>
    <row r="7" spans="1:8" ht="10.8" customHeight="1" x14ac:dyDescent="0.3">
      <c r="A7" s="31"/>
      <c r="B7" s="31"/>
      <c r="C7" s="31"/>
      <c r="D7" s="31"/>
      <c r="E7" s="31"/>
      <c r="F7" s="31"/>
      <c r="G7" s="31"/>
    </row>
    <row r="8" spans="1:8" hidden="1" x14ac:dyDescent="0.3">
      <c r="A8" s="31"/>
      <c r="B8" s="31"/>
      <c r="C8" s="31"/>
      <c r="D8" s="31"/>
      <c r="E8" s="31"/>
      <c r="F8" s="31"/>
      <c r="G8" s="31"/>
    </row>
    <row r="10" spans="1:8" x14ac:dyDescent="0.3">
      <c r="A10" s="31" t="s">
        <v>597</v>
      </c>
      <c r="B10" s="26"/>
      <c r="C10" s="26"/>
      <c r="D10" s="26"/>
      <c r="E10" s="26"/>
      <c r="F10" s="26"/>
      <c r="G10" s="26"/>
    </row>
    <row r="11" spans="1:8" x14ac:dyDescent="0.3">
      <c r="A11" s="26"/>
      <c r="B11" s="26"/>
      <c r="C11" s="26"/>
      <c r="D11" s="26"/>
      <c r="E11" s="26"/>
      <c r="F11" s="26"/>
      <c r="G11" s="26"/>
    </row>
    <row r="12" spans="1:8" x14ac:dyDescent="0.3">
      <c r="A12" s="26"/>
      <c r="B12" s="26"/>
      <c r="C12" s="26"/>
      <c r="D12" s="26"/>
      <c r="E12" s="26"/>
      <c r="F12" s="26"/>
      <c r="G12" s="26"/>
    </row>
    <row r="13" spans="1:8" x14ac:dyDescent="0.3">
      <c r="A13" s="26"/>
      <c r="B13" s="26"/>
      <c r="C13" s="26"/>
      <c r="D13" s="26"/>
      <c r="E13" s="26"/>
      <c r="F13" s="26"/>
      <c r="G13" s="26"/>
    </row>
    <row r="14" spans="1:8" x14ac:dyDescent="0.3">
      <c r="A14" s="26"/>
      <c r="B14" s="26"/>
      <c r="C14" s="26"/>
      <c r="D14" s="26"/>
      <c r="E14" s="26"/>
      <c r="F14" s="26"/>
      <c r="G14" s="26"/>
    </row>
    <row r="15" spans="1:8" x14ac:dyDescent="0.3">
      <c r="A15" s="26"/>
      <c r="B15" s="26"/>
      <c r="C15" s="26"/>
      <c r="D15" s="26"/>
      <c r="E15" s="26"/>
      <c r="F15" s="26"/>
      <c r="G15" s="26"/>
    </row>
    <row r="16" spans="1:8" x14ac:dyDescent="0.3">
      <c r="A16" s="26"/>
      <c r="B16" s="26"/>
      <c r="C16" s="26"/>
      <c r="D16" s="26"/>
      <c r="E16" s="26"/>
      <c r="F16" s="26"/>
      <c r="G16" s="26"/>
    </row>
    <row r="17" spans="1:7" x14ac:dyDescent="0.3">
      <c r="A17" s="26"/>
      <c r="B17" s="26"/>
      <c r="C17" s="26"/>
      <c r="D17" s="26"/>
      <c r="E17" s="26"/>
      <c r="F17" s="26"/>
      <c r="G17" s="26"/>
    </row>
    <row r="18" spans="1:7" ht="10.199999999999999" customHeight="1" x14ac:dyDescent="0.3">
      <c r="A18" s="26"/>
      <c r="B18" s="26"/>
      <c r="C18" s="26"/>
      <c r="D18" s="26"/>
      <c r="E18" s="26"/>
      <c r="F18" s="26"/>
      <c r="G18" s="26"/>
    </row>
    <row r="19" spans="1:7" hidden="1" x14ac:dyDescent="0.3">
      <c r="A19" s="26"/>
      <c r="B19" s="26"/>
      <c r="C19" s="26"/>
      <c r="D19" s="26"/>
      <c r="E19" s="26"/>
      <c r="F19" s="26"/>
      <c r="G19" s="26"/>
    </row>
    <row r="20" spans="1:7" hidden="1" x14ac:dyDescent="0.3">
      <c r="A20" s="26"/>
      <c r="B20" s="26"/>
      <c r="C20" s="26"/>
      <c r="D20" s="26"/>
      <c r="E20" s="26"/>
      <c r="F20" s="26"/>
      <c r="G20" s="26"/>
    </row>
    <row r="21" spans="1:7" ht="3" hidden="1" customHeight="1" x14ac:dyDescent="0.3">
      <c r="A21" s="26"/>
      <c r="B21" s="26"/>
      <c r="C21" s="26"/>
      <c r="D21" s="26"/>
      <c r="E21" s="26"/>
      <c r="F21" s="26"/>
      <c r="G21" s="26"/>
    </row>
    <row r="22" spans="1:7" hidden="1" x14ac:dyDescent="0.3">
      <c r="A22" s="26"/>
      <c r="B22" s="26"/>
      <c r="C22" s="26"/>
      <c r="D22" s="26"/>
      <c r="E22" s="26"/>
      <c r="F22" s="26"/>
      <c r="G22" s="26"/>
    </row>
    <row r="23" spans="1:7" hidden="1" x14ac:dyDescent="0.3">
      <c r="A23" s="26"/>
      <c r="B23" s="26"/>
      <c r="C23" s="26"/>
      <c r="D23" s="26"/>
      <c r="E23" s="26"/>
      <c r="F23" s="26"/>
      <c r="G23" s="26"/>
    </row>
    <row r="25" spans="1:7" x14ac:dyDescent="0.3">
      <c r="A25" s="31" t="s">
        <v>598</v>
      </c>
      <c r="B25" s="26"/>
      <c r="C25" s="26"/>
      <c r="D25" s="26"/>
    </row>
    <row r="26" spans="1:7" x14ac:dyDescent="0.3">
      <c r="A26" s="26"/>
      <c r="B26" s="26"/>
      <c r="C26" s="26"/>
      <c r="D26" s="26"/>
    </row>
    <row r="28" spans="1:7" ht="21.6" customHeight="1" x14ac:dyDescent="0.3">
      <c r="A28" s="32" t="s">
        <v>581</v>
      </c>
      <c r="B28" s="32" t="s">
        <v>565</v>
      </c>
      <c r="C28" s="32" t="s">
        <v>599</v>
      </c>
      <c r="D28" s="32" t="s">
        <v>583</v>
      </c>
    </row>
    <row r="29" spans="1:7" ht="19.8" customHeight="1" x14ac:dyDescent="0.3">
      <c r="A29" s="10" t="s">
        <v>584</v>
      </c>
      <c r="B29" s="10">
        <v>500</v>
      </c>
      <c r="C29" s="33">
        <v>974727</v>
      </c>
      <c r="D29" s="34">
        <v>0.03</v>
      </c>
    </row>
    <row r="30" spans="1:7" ht="21.6" customHeight="1" x14ac:dyDescent="0.3">
      <c r="A30" s="10" t="s">
        <v>585</v>
      </c>
      <c r="B30" s="10">
        <v>140</v>
      </c>
      <c r="C30" s="33">
        <v>634200</v>
      </c>
      <c r="D30" s="34">
        <v>1.95E-2</v>
      </c>
    </row>
    <row r="31" spans="1:7" ht="19.2" customHeight="1" x14ac:dyDescent="0.3">
      <c r="A31" s="10" t="s">
        <v>586</v>
      </c>
      <c r="B31" s="10">
        <v>228</v>
      </c>
      <c r="C31" s="33">
        <v>1253700</v>
      </c>
      <c r="D31" s="34">
        <v>3.8600000000000002E-2</v>
      </c>
    </row>
    <row r="33" spans="1:8" x14ac:dyDescent="0.3">
      <c r="A33" s="31" t="s">
        <v>602</v>
      </c>
      <c r="B33" s="26"/>
      <c r="C33" s="26"/>
      <c r="D33" s="26"/>
    </row>
    <row r="34" spans="1:8" x14ac:dyDescent="0.3">
      <c r="A34" s="26"/>
      <c r="B34" s="26"/>
      <c r="C34" s="26"/>
      <c r="D34" s="26"/>
    </row>
    <row r="35" spans="1:8" x14ac:dyDescent="0.3">
      <c r="A35" s="26"/>
      <c r="B35" s="26"/>
      <c r="C35" s="26"/>
      <c r="D35" s="26"/>
    </row>
    <row r="37" spans="1:8" ht="18" x14ac:dyDescent="0.35">
      <c r="A37" s="35" t="s">
        <v>600</v>
      </c>
    </row>
    <row r="38" spans="1:8" x14ac:dyDescent="0.3">
      <c r="A38" s="31" t="s">
        <v>611</v>
      </c>
      <c r="B38" s="26"/>
      <c r="C38" s="26"/>
      <c r="D38" s="26"/>
    </row>
    <row r="39" spans="1:8" x14ac:dyDescent="0.3">
      <c r="A39" s="26"/>
      <c r="B39" s="26"/>
      <c r="C39" s="26"/>
      <c r="D39" s="26"/>
    </row>
    <row r="40" spans="1:8" x14ac:dyDescent="0.3">
      <c r="A40" s="26"/>
      <c r="B40" s="26"/>
      <c r="C40" s="26"/>
      <c r="D40" s="26"/>
    </row>
    <row r="41" spans="1:8" x14ac:dyDescent="0.3">
      <c r="A41" s="26"/>
      <c r="B41" s="26"/>
      <c r="C41" s="26"/>
      <c r="D41" s="26"/>
    </row>
    <row r="42" spans="1:8" x14ac:dyDescent="0.3">
      <c r="A42" s="26"/>
      <c r="B42" s="26"/>
      <c r="C42" s="26"/>
      <c r="D42" s="26"/>
    </row>
    <row r="43" spans="1:8" x14ac:dyDescent="0.3">
      <c r="A43" s="26"/>
      <c r="B43" s="26"/>
      <c r="C43" s="26"/>
      <c r="D43" s="26"/>
    </row>
    <row r="44" spans="1:8" x14ac:dyDescent="0.3">
      <c r="A44" s="26"/>
      <c r="B44" s="26"/>
      <c r="C44" s="26"/>
      <c r="D44" s="26"/>
    </row>
    <row r="45" spans="1:8" x14ac:dyDescent="0.3">
      <c r="A45" s="26"/>
      <c r="B45" s="26"/>
      <c r="C45" s="26"/>
      <c r="D45" s="26"/>
    </row>
    <row r="46" spans="1:8" x14ac:dyDescent="0.3">
      <c r="A46" s="26"/>
      <c r="B46" s="26"/>
      <c r="C46" s="26"/>
      <c r="D46" s="26"/>
    </row>
    <row r="47" spans="1:8" ht="18" x14ac:dyDescent="0.35">
      <c r="A47" s="35" t="s">
        <v>603</v>
      </c>
    </row>
    <row r="48" spans="1:8" x14ac:dyDescent="0.3">
      <c r="A48" s="26" t="s">
        <v>604</v>
      </c>
      <c r="B48" s="26"/>
      <c r="C48" s="26"/>
      <c r="D48" s="26"/>
      <c r="E48" s="26"/>
      <c r="F48" s="26"/>
      <c r="G48" s="26"/>
      <c r="H48" s="26"/>
    </row>
    <row r="49" spans="1:8" x14ac:dyDescent="0.3">
      <c r="A49" s="26" t="s">
        <v>605</v>
      </c>
      <c r="B49" s="26"/>
      <c r="C49" s="26"/>
      <c r="D49" s="26"/>
      <c r="E49" s="26"/>
      <c r="F49" s="26"/>
      <c r="G49" s="26"/>
      <c r="H49" s="26"/>
    </row>
    <row r="50" spans="1:8" x14ac:dyDescent="0.3">
      <c r="A50" s="26" t="s">
        <v>606</v>
      </c>
      <c r="B50" s="26"/>
      <c r="C50" s="26"/>
      <c r="D50" s="26"/>
      <c r="E50" s="26"/>
      <c r="F50" s="26"/>
      <c r="G50" s="26"/>
      <c r="H50" s="26"/>
    </row>
    <row r="51" spans="1:8" x14ac:dyDescent="0.3">
      <c r="A51" s="26" t="s">
        <v>607</v>
      </c>
      <c r="B51" s="26"/>
      <c r="C51" s="26"/>
      <c r="D51" s="26"/>
      <c r="E51" s="26"/>
      <c r="F51" s="26"/>
      <c r="G51" s="26"/>
      <c r="H51" s="26"/>
    </row>
    <row r="52" spans="1:8" x14ac:dyDescent="0.3">
      <c r="A52" s="26" t="s">
        <v>608</v>
      </c>
      <c r="B52" s="26"/>
      <c r="C52" s="26"/>
      <c r="D52" s="26"/>
      <c r="E52" s="26"/>
      <c r="F52" s="26"/>
      <c r="G52" s="26"/>
      <c r="H52" s="26"/>
    </row>
    <row r="53" spans="1:8" x14ac:dyDescent="0.3">
      <c r="A53" s="26" t="s">
        <v>609</v>
      </c>
      <c r="B53" s="26"/>
      <c r="C53" s="26"/>
      <c r="D53" s="26"/>
      <c r="E53" s="26"/>
      <c r="F53" s="26"/>
      <c r="G53" s="26"/>
      <c r="H53" s="26"/>
    </row>
    <row r="54" spans="1:8" x14ac:dyDescent="0.3">
      <c r="A54" s="26" t="s">
        <v>610</v>
      </c>
      <c r="B54" s="26"/>
      <c r="C54" s="26"/>
      <c r="D54" s="26"/>
      <c r="E54" s="26"/>
      <c r="F54" s="26"/>
      <c r="G54" s="26"/>
    </row>
  </sheetData>
  <mergeCells count="13">
    <mergeCell ref="A53:H53"/>
    <mergeCell ref="A54:G54"/>
    <mergeCell ref="A38:D46"/>
    <mergeCell ref="A48:H48"/>
    <mergeCell ref="A49:H49"/>
    <mergeCell ref="A50:H50"/>
    <mergeCell ref="A51:H51"/>
    <mergeCell ref="A52:H52"/>
    <mergeCell ref="A3:G8"/>
    <mergeCell ref="A10:G23"/>
    <mergeCell ref="A25:D26"/>
    <mergeCell ref="A33:D35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FA550-4F45-47DB-A4AF-4FC399434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Employee_Data</vt:lpstr>
      <vt:lpstr>Market_Benchmarks</vt:lpstr>
      <vt:lpstr>Pivot_Analysis</vt:lpstr>
      <vt:lpstr>Pay_Adjustment</vt:lpstr>
      <vt:lpstr>Dashboard</vt:lpstr>
      <vt:lpstr>Recommendations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allahyar</dc:creator>
  <cp:lastModifiedBy>Morteza allahyar</cp:lastModifiedBy>
  <cp:lastPrinted>2026-08-17T14:37:08Z</cp:lastPrinted>
  <dcterms:created xsi:type="dcterms:W3CDTF">2026-08-14T22:00:19Z</dcterms:created>
  <dcterms:modified xsi:type="dcterms:W3CDTF">2026-08-17T15:14:39Z</dcterms:modified>
</cp:coreProperties>
</file>